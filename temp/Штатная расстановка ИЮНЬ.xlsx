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Текучка Трошина\Аналитика\данные\30.06.2026\"/>
    </mc:Choice>
  </mc:AlternateContent>
  <xr:revisionPtr revIDLastSave="0" documentId="13_ncr:8001_{70DFF024-5D19-4CBC-AB33-980D10103936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definedNames>
    <definedName name="_xlnm._FilterDatabase" localSheetId="0" hidden="1">Лист1!$A$1:$X$808</definedName>
    <definedName name="_xlnm.Print_Area" localSheetId="0">Лист1!$B$1:$H$811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8" i="1" l="1"/>
  <c r="G3" i="1"/>
  <c r="G4" i="1"/>
  <c r="G5" i="1"/>
  <c r="G6" i="1"/>
  <c r="G7" i="1"/>
  <c r="G8" i="1"/>
  <c r="G9" i="1"/>
  <c r="G10" i="1"/>
  <c r="G11" i="1"/>
  <c r="G12" i="1"/>
  <c r="G14" i="1"/>
  <c r="G17" i="1"/>
  <c r="G19" i="1"/>
  <c r="G20" i="1"/>
  <c r="G23" i="1"/>
  <c r="G24" i="1"/>
  <c r="G25" i="1"/>
  <c r="G26" i="1"/>
  <c r="G27" i="1"/>
  <c r="G28" i="1"/>
  <c r="G29" i="1"/>
  <c r="G30" i="1"/>
  <c r="G32" i="1"/>
  <c r="G33" i="1"/>
  <c r="G34" i="1"/>
  <c r="G35" i="1"/>
  <c r="G36" i="1"/>
  <c r="G37" i="1"/>
  <c r="G38" i="1"/>
  <c r="G39" i="1"/>
  <c r="G40" i="1"/>
  <c r="G41" i="1"/>
  <c r="G44" i="1"/>
  <c r="G46" i="1"/>
  <c r="G47" i="1"/>
  <c r="G48" i="1"/>
  <c r="G51" i="1"/>
  <c r="G52" i="1"/>
  <c r="G53" i="1"/>
  <c r="G56" i="1"/>
  <c r="G57" i="1"/>
  <c r="G58" i="1"/>
  <c r="G59" i="1"/>
  <c r="G60" i="1"/>
  <c r="G61" i="1"/>
  <c r="G65" i="1"/>
  <c r="G66" i="1"/>
  <c r="G68" i="1"/>
  <c r="G69" i="1"/>
  <c r="G70" i="1"/>
  <c r="G71" i="1"/>
  <c r="G72" i="1"/>
  <c r="G73" i="1"/>
  <c r="G74" i="1"/>
  <c r="G75" i="1"/>
  <c r="G76" i="1"/>
  <c r="G78" i="1"/>
  <c r="G79" i="1"/>
  <c r="G81" i="1"/>
  <c r="G82" i="1"/>
  <c r="G83" i="1"/>
  <c r="G84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5" i="1"/>
  <c r="G106" i="1"/>
  <c r="G315" i="1"/>
  <c r="G108" i="1"/>
  <c r="G109" i="1"/>
  <c r="G110" i="1"/>
  <c r="G111" i="1"/>
  <c r="G112" i="1"/>
  <c r="G113" i="1"/>
  <c r="G114" i="1"/>
  <c r="G115" i="1"/>
  <c r="G116" i="1"/>
  <c r="G117" i="1"/>
  <c r="G118" i="1"/>
  <c r="G120" i="1"/>
  <c r="G121" i="1"/>
  <c r="G122" i="1"/>
  <c r="G123" i="1"/>
  <c r="G124" i="1"/>
  <c r="G125" i="1"/>
  <c r="G126" i="1"/>
  <c r="G127" i="1"/>
  <c r="G128" i="1"/>
  <c r="G129" i="1"/>
  <c r="G131" i="1"/>
  <c r="G132" i="1"/>
  <c r="G133" i="1"/>
  <c r="G135" i="1"/>
  <c r="G136" i="1"/>
  <c r="G137" i="1"/>
  <c r="G138" i="1"/>
  <c r="G139" i="1"/>
  <c r="G140" i="1"/>
  <c r="G143" i="1"/>
  <c r="G144" i="1"/>
  <c r="G145" i="1"/>
  <c r="G146" i="1"/>
  <c r="G147" i="1"/>
  <c r="G148" i="1"/>
  <c r="G149" i="1"/>
  <c r="G150" i="1"/>
  <c r="G152" i="1"/>
  <c r="G153" i="1"/>
  <c r="G154" i="1"/>
  <c r="G155" i="1"/>
  <c r="G158" i="1"/>
  <c r="G159" i="1"/>
  <c r="G161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6" i="1"/>
  <c r="G197" i="1"/>
  <c r="G199" i="1"/>
  <c r="G201" i="1"/>
  <c r="G203" i="1"/>
  <c r="G204" i="1"/>
  <c r="G205" i="1"/>
  <c r="G206" i="1"/>
  <c r="G207" i="1"/>
  <c r="G208" i="1"/>
  <c r="G209" i="1"/>
  <c r="G211" i="1"/>
  <c r="G212" i="1"/>
  <c r="G213" i="1"/>
  <c r="G214" i="1"/>
  <c r="G215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1" i="1"/>
  <c r="G242" i="1"/>
  <c r="G245" i="1"/>
  <c r="G246" i="1"/>
  <c r="G247" i="1"/>
  <c r="G248" i="1"/>
  <c r="G249" i="1"/>
  <c r="G250" i="1"/>
  <c r="G251" i="1"/>
  <c r="G252" i="1"/>
  <c r="G253" i="1"/>
  <c r="G254" i="1"/>
  <c r="G256" i="1"/>
  <c r="G257" i="1"/>
  <c r="G261" i="1"/>
  <c r="G260" i="1"/>
  <c r="G262" i="1"/>
  <c r="G263" i="1"/>
  <c r="G264" i="1"/>
  <c r="G265" i="1"/>
  <c r="G266" i="1"/>
  <c r="G267" i="1"/>
  <c r="G268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4" i="1"/>
  <c r="G295" i="1"/>
  <c r="G296" i="1"/>
  <c r="G297" i="1"/>
  <c r="G298" i="1"/>
  <c r="G299" i="1"/>
  <c r="G300" i="1"/>
  <c r="G301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6" i="1"/>
  <c r="G347" i="1"/>
  <c r="G348" i="1"/>
  <c r="G349" i="1"/>
  <c r="G350" i="1"/>
  <c r="G351" i="1"/>
  <c r="G353" i="1"/>
  <c r="G354" i="1"/>
  <c r="G356" i="1"/>
  <c r="G358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2" i="1"/>
  <c r="G383" i="1"/>
  <c r="G384" i="1"/>
  <c r="G385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1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9" i="1"/>
  <c r="G420" i="1"/>
  <c r="G421" i="1"/>
  <c r="G424" i="1"/>
  <c r="G425" i="1"/>
  <c r="G426" i="1"/>
  <c r="G427" i="1"/>
  <c r="G428" i="1"/>
  <c r="G429" i="1"/>
  <c r="G430" i="1"/>
  <c r="G431" i="1"/>
  <c r="G432" i="1"/>
  <c r="G433" i="1"/>
  <c r="G435" i="1"/>
  <c r="G436" i="1"/>
  <c r="G437" i="1"/>
  <c r="G439" i="1"/>
  <c r="G441" i="1"/>
  <c r="G444" i="1"/>
  <c r="G445" i="1"/>
  <c r="G446" i="1"/>
  <c r="G447" i="1"/>
  <c r="G448" i="1"/>
  <c r="G449" i="1"/>
  <c r="G452" i="1"/>
  <c r="G453" i="1"/>
  <c r="G454" i="1"/>
  <c r="G455" i="1"/>
  <c r="G456" i="1"/>
  <c r="G457" i="1"/>
  <c r="G458" i="1"/>
  <c r="G459" i="1"/>
  <c r="G461" i="1"/>
  <c r="G462" i="1"/>
  <c r="G463" i="1"/>
  <c r="G464" i="1"/>
  <c r="G465" i="1"/>
  <c r="G466" i="1"/>
  <c r="G467" i="1"/>
  <c r="G469" i="1"/>
  <c r="G470" i="1"/>
  <c r="G471" i="1"/>
  <c r="G472" i="1"/>
  <c r="G473" i="1"/>
  <c r="G474" i="1"/>
  <c r="G475" i="1"/>
  <c r="G477" i="1"/>
  <c r="G478" i="1"/>
  <c r="G479" i="1"/>
  <c r="G480" i="1"/>
  <c r="G481" i="1"/>
  <c r="G482" i="1"/>
  <c r="G483" i="1"/>
  <c r="G484" i="1"/>
  <c r="G485" i="1"/>
  <c r="G487" i="1"/>
  <c r="G488" i="1"/>
  <c r="G489" i="1"/>
  <c r="G490" i="1"/>
  <c r="G491" i="1"/>
  <c r="G492" i="1"/>
  <c r="G493" i="1"/>
  <c r="G494" i="1"/>
  <c r="G496" i="1"/>
  <c r="G497" i="1"/>
  <c r="G498" i="1"/>
  <c r="G499" i="1"/>
  <c r="G500" i="1"/>
  <c r="G501" i="1"/>
  <c r="G502" i="1"/>
  <c r="G503" i="1"/>
  <c r="G504" i="1"/>
  <c r="G505" i="1"/>
  <c r="G507" i="1"/>
  <c r="G508" i="1"/>
  <c r="G509" i="1"/>
  <c r="G510" i="1"/>
  <c r="G511" i="1"/>
  <c r="G512" i="1"/>
  <c r="G513" i="1"/>
  <c r="G514" i="1"/>
  <c r="G515" i="1"/>
  <c r="G516" i="1"/>
  <c r="G518" i="1"/>
  <c r="G519" i="1"/>
  <c r="G520" i="1"/>
  <c r="G521" i="1"/>
  <c r="G522" i="1"/>
  <c r="G523" i="1"/>
  <c r="G524" i="1"/>
  <c r="G525" i="1"/>
  <c r="G526" i="1"/>
  <c r="G527" i="1"/>
  <c r="G529" i="1"/>
  <c r="G531" i="1"/>
  <c r="G533" i="1"/>
  <c r="G535" i="1"/>
  <c r="G537" i="1"/>
  <c r="G538" i="1"/>
  <c r="G539" i="1"/>
  <c r="G536" i="1"/>
  <c r="G541" i="1"/>
  <c r="G542" i="1"/>
  <c r="G543" i="1"/>
  <c r="G544" i="1"/>
  <c r="G545" i="1"/>
  <c r="G546" i="1"/>
  <c r="G547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4" i="1"/>
  <c r="G575" i="1"/>
  <c r="G576" i="1"/>
  <c r="G577" i="1"/>
  <c r="G578" i="1"/>
  <c r="G579" i="1"/>
  <c r="G580" i="1"/>
  <c r="G581" i="1"/>
  <c r="G582" i="1"/>
  <c r="G584" i="1"/>
  <c r="G585" i="1"/>
  <c r="G586" i="1"/>
  <c r="G587" i="1"/>
  <c r="G588" i="1"/>
  <c r="G589" i="1"/>
  <c r="G590" i="1"/>
  <c r="G591" i="1"/>
  <c r="G593" i="1"/>
  <c r="G594" i="1"/>
  <c r="G596" i="1"/>
  <c r="G599" i="1"/>
  <c r="G600" i="1"/>
  <c r="G601" i="1"/>
  <c r="G602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20" i="1"/>
  <c r="G621" i="1"/>
  <c r="G622" i="1"/>
  <c r="G626" i="1"/>
  <c r="G627" i="1"/>
  <c r="G631" i="1"/>
  <c r="G632" i="1"/>
  <c r="G635" i="1"/>
  <c r="G637" i="1"/>
  <c r="G638" i="1"/>
  <c r="G639" i="1"/>
  <c r="G641" i="1"/>
  <c r="G642" i="1"/>
  <c r="G643" i="1"/>
  <c r="G644" i="1"/>
  <c r="G646" i="1"/>
  <c r="G648" i="1"/>
  <c r="G651" i="1"/>
  <c r="G652" i="1"/>
  <c r="G653" i="1"/>
  <c r="G655" i="1"/>
  <c r="G656" i="1"/>
  <c r="G659" i="1"/>
  <c r="G660" i="1"/>
  <c r="G661" i="1"/>
  <c r="G662" i="1"/>
  <c r="G663" i="1"/>
  <c r="G664" i="1"/>
  <c r="G666" i="1"/>
  <c r="G667" i="1"/>
  <c r="G668" i="1"/>
  <c r="G669" i="1"/>
  <c r="G670" i="1"/>
  <c r="G671" i="1"/>
  <c r="G673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1" i="1"/>
  <c r="G692" i="1"/>
  <c r="G693" i="1"/>
  <c r="G694" i="1"/>
  <c r="G695" i="1"/>
  <c r="G696" i="1"/>
  <c r="G697" i="1"/>
  <c r="G698" i="1"/>
  <c r="G699" i="1"/>
  <c r="G701" i="1"/>
  <c r="G702" i="1"/>
  <c r="G703" i="1"/>
  <c r="G704" i="1"/>
  <c r="G705" i="1"/>
  <c r="G707" i="1"/>
  <c r="G708" i="1"/>
  <c r="G709" i="1"/>
  <c r="G710" i="1"/>
  <c r="G711" i="1"/>
  <c r="G712" i="1"/>
  <c r="G713" i="1"/>
  <c r="G714" i="1"/>
  <c r="G716" i="1"/>
  <c r="G718" i="1"/>
  <c r="G719" i="1"/>
  <c r="G720" i="1"/>
  <c r="G721" i="1"/>
  <c r="G722" i="1"/>
  <c r="G725" i="1"/>
  <c r="G726" i="1"/>
  <c r="G727" i="1"/>
  <c r="G728" i="1"/>
  <c r="G729" i="1"/>
  <c r="G730" i="1"/>
  <c r="G731" i="1"/>
  <c r="G732" i="1"/>
  <c r="G733" i="1"/>
  <c r="G735" i="1"/>
  <c r="G736" i="1"/>
  <c r="G737" i="1"/>
  <c r="G738" i="1"/>
  <c r="G739" i="1"/>
  <c r="G740" i="1"/>
  <c r="G741" i="1"/>
  <c r="G742" i="1"/>
  <c r="G743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9" i="1"/>
  <c r="G760" i="1"/>
  <c r="G761" i="1"/>
  <c r="G762" i="1"/>
  <c r="G763" i="1"/>
  <c r="G764" i="1"/>
  <c r="G765" i="1"/>
  <c r="G766" i="1"/>
  <c r="G767" i="1"/>
  <c r="G769" i="1"/>
  <c r="G770" i="1"/>
  <c r="G771" i="1"/>
  <c r="G772" i="1"/>
  <c r="G773" i="1"/>
  <c r="G774" i="1"/>
  <c r="G776" i="1"/>
  <c r="G777" i="1"/>
  <c r="G778" i="1"/>
  <c r="G779" i="1"/>
  <c r="G781" i="1"/>
  <c r="G782" i="1"/>
  <c r="G783" i="1"/>
  <c r="G784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7" i="1"/>
  <c r="G2" i="1"/>
  <c r="H808" i="1" l="1"/>
  <c r="H785" i="1"/>
  <c r="H768" i="1"/>
  <c r="H758" i="1"/>
  <c r="H700" i="1"/>
  <c r="H734" i="1"/>
  <c r="H650" i="1"/>
  <c r="H630" i="1"/>
  <c r="H530" i="1"/>
  <c r="H381" i="1"/>
  <c r="H179" i="1"/>
  <c r="H18" i="1"/>
  <c r="H690" i="1" l="1"/>
  <c r="H811" i="1" s="1"/>
  <c r="I8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Трошина Юлия Владимировна</author>
    <author>Шубина Динара Абдулхаковна</author>
  </authors>
  <commentList>
    <comment ref="A1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Трошина Юлия Владимировна:</t>
        </r>
        <r>
          <rPr>
            <sz val="9"/>
            <color indexed="81"/>
            <rFont val="Tahoma"/>
            <family val="2"/>
            <charset val="204"/>
          </rPr>
          <t xml:space="preserve">
от ГБ Монорельс</t>
        </r>
      </text>
    </comment>
    <comment ref="F1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Трошина Юлия Владимировна:</t>
        </r>
        <r>
          <rPr>
            <sz val="9"/>
            <color indexed="81"/>
            <rFont val="Tahoma"/>
            <family val="2"/>
            <charset val="204"/>
          </rPr>
          <t xml:space="preserve">
от ГБ Монорельс</t>
        </r>
      </text>
    </comment>
    <comment ref="A86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Шубина Динара Абдулхаковна:</t>
        </r>
        <r>
          <rPr>
            <sz val="9"/>
            <color indexed="81"/>
            <rFont val="Tahoma"/>
            <family val="2"/>
            <charset val="204"/>
          </rPr>
          <t xml:space="preserve">
водитель</t>
        </r>
      </text>
    </comment>
    <comment ref="F86" authorId="1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Шубина Динара Абдулхаковна:</t>
        </r>
        <r>
          <rPr>
            <sz val="9"/>
            <color indexed="81"/>
            <rFont val="Tahoma"/>
            <family val="2"/>
            <charset val="204"/>
          </rPr>
          <t xml:space="preserve">
водитель</t>
        </r>
      </text>
    </comment>
    <comment ref="A570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Трошина Юлия Владимировна:</t>
        </r>
        <r>
          <rPr>
            <sz val="9"/>
            <color indexed="81"/>
            <rFont val="Tahoma"/>
            <family val="2"/>
            <charset val="204"/>
          </rPr>
          <t xml:space="preserve">
сидит на 3/4 ставки, по выходу из декрета перевксти на полную с увел соответствующего ОК в 1С</t>
        </r>
      </text>
    </comment>
    <comment ref="F570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Трошина Юлия Владимировна:</t>
        </r>
        <r>
          <rPr>
            <sz val="9"/>
            <color indexed="81"/>
            <rFont val="Tahoma"/>
            <family val="2"/>
            <charset val="204"/>
          </rPr>
          <t xml:space="preserve">
сидит на 3/4 ставки, по выходу из декрета перевксти на полную с увел соответствующего ОК в 1С</t>
        </r>
      </text>
    </comment>
    <comment ref="A64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Трошина Юлия Владимировна:</t>
        </r>
        <r>
          <rPr>
            <sz val="9"/>
            <color indexed="81"/>
            <rFont val="Tahoma"/>
            <family val="2"/>
            <charset val="204"/>
          </rPr>
          <t xml:space="preserve">
водитель Гришина В.И.</t>
        </r>
      </text>
    </comment>
    <comment ref="F642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Трошина Юлия Владимировна:</t>
        </r>
        <r>
          <rPr>
            <sz val="9"/>
            <color indexed="81"/>
            <rFont val="Tahoma"/>
            <family val="2"/>
            <charset val="204"/>
          </rPr>
          <t xml:space="preserve">
водитель Гришина В.И.</t>
        </r>
      </text>
    </comment>
  </commentList>
</comments>
</file>

<file path=xl/sharedStrings.xml><?xml version="1.0" encoding="utf-8"?>
<sst xmlns="http://schemas.openxmlformats.org/spreadsheetml/2006/main" count="4776" uniqueCount="970">
  <si>
    <t>Блок</t>
  </si>
  <si>
    <t>Принадлежность</t>
  </si>
  <si>
    <t>Структурное подразделение</t>
  </si>
  <si>
    <t xml:space="preserve">Должность </t>
  </si>
  <si>
    <t xml:space="preserve">ФИО  </t>
  </si>
  <si>
    <t>Количество штатных единиц</t>
  </si>
  <si>
    <t>Управление по организационному развитию</t>
  </si>
  <si>
    <t>Мураткина</t>
  </si>
  <si>
    <t>Шубина Динара Абдулхаковна</t>
  </si>
  <si>
    <t>Тихомирова Марина Анатольевна</t>
  </si>
  <si>
    <t>Аксенова Нина Андреевна</t>
  </si>
  <si>
    <t>Главный специалист по охране труда</t>
  </si>
  <si>
    <t>Начальник управления</t>
  </si>
  <si>
    <t>Отдел кадрового администрирования</t>
  </si>
  <si>
    <t>Начальник отдела</t>
  </si>
  <si>
    <t>Заместитель начальника отдела</t>
  </si>
  <si>
    <t>Левитина Полина Дмитриевна</t>
  </si>
  <si>
    <t>Тихонов Александр Алексеевич</t>
  </si>
  <si>
    <t>Захарова Александра Андреевна</t>
  </si>
  <si>
    <t>Трошина Юлия Владимировна</t>
  </si>
  <si>
    <t>Отдел оплаты труда и мотивации персонала</t>
  </si>
  <si>
    <t>Болдырь Валерия Витальевна</t>
  </si>
  <si>
    <t>Бурчинова Екатерина Юрьевна</t>
  </si>
  <si>
    <t>Голубева Дарья Николаевна</t>
  </si>
  <si>
    <t>Лапшина Наталья Сергеевна</t>
  </si>
  <si>
    <t>ВАКАНСИЯ</t>
  </si>
  <si>
    <t>Начальник группы</t>
  </si>
  <si>
    <t>Владыкина Кристина Александровна</t>
  </si>
  <si>
    <t>Управление закупок</t>
  </si>
  <si>
    <t>Отдел контроля и исполнения контрактов</t>
  </si>
  <si>
    <t>Отдел планирования,  подготовки документов и размещения закупок</t>
  </si>
  <si>
    <t>Конусов Сергей Васильевич</t>
  </si>
  <si>
    <t>Абросимов Артем Анатольевич</t>
  </si>
  <si>
    <t>Бетуганов Ратмир Станиславович</t>
  </si>
  <si>
    <t>Ткаченок Никита Артемович</t>
  </si>
  <si>
    <t>Бакалягин Сергей Владимирович</t>
  </si>
  <si>
    <t>Газарян Евгений Григорьевич</t>
  </si>
  <si>
    <t>Макаров Кирилл Григорьевич</t>
  </si>
  <si>
    <t>Жбакова Наталья Петровна</t>
  </si>
  <si>
    <t>Григорян</t>
  </si>
  <si>
    <t>Научный руководитель</t>
  </si>
  <si>
    <t>Главный научный сотрудник</t>
  </si>
  <si>
    <t>Старший научный сотрудник</t>
  </si>
  <si>
    <t>Научный центр</t>
  </si>
  <si>
    <t>Гришин Виктор Иванович</t>
  </si>
  <si>
    <t>Косарева Елена Александровна</t>
  </si>
  <si>
    <t>Гришина Ольга Алексеевна</t>
  </si>
  <si>
    <t>Шибаев Сергей Рафаилович</t>
  </si>
  <si>
    <t>Устюжанин Владимир Леонидович</t>
  </si>
  <si>
    <t>Кузнецов Василий Валерьевич</t>
  </si>
  <si>
    <t>Гришин</t>
  </si>
  <si>
    <t>Аналитический центр</t>
  </si>
  <si>
    <t xml:space="preserve">Начальник центра </t>
  </si>
  <si>
    <t>Отдел анализа данных</t>
  </si>
  <si>
    <t>Главный аналитик</t>
  </si>
  <si>
    <t>Ведущий аналитик</t>
  </si>
  <si>
    <t>Кустов</t>
  </si>
  <si>
    <t>Пономаренко Сергей Александрович</t>
  </si>
  <si>
    <t>Шарапов Александр Михайлович</t>
  </si>
  <si>
    <t>Нестеров Степан Владимирович</t>
  </si>
  <si>
    <t>Терехова Любовь Андреевна</t>
  </si>
  <si>
    <t>Назаров Михаил Сергеевич</t>
  </si>
  <si>
    <t>Марковский Валентин Александрович</t>
  </si>
  <si>
    <t>Коротаев Александр Сергеевич</t>
  </si>
  <si>
    <t>Бабенков Павел Алексеевич</t>
  </si>
  <si>
    <t>Отдел макромоделирования</t>
  </si>
  <si>
    <t xml:space="preserve">ВАКАНСИЯ </t>
  </si>
  <si>
    <t>Начальник центра</t>
  </si>
  <si>
    <t>Заместитель начальника центра</t>
  </si>
  <si>
    <t>Отдел перспективных проектов</t>
  </si>
  <si>
    <t>Отдел стратегических проектов</t>
  </si>
  <si>
    <t>Центр дизайна</t>
  </si>
  <si>
    <t xml:space="preserve">Начальник центра  </t>
  </si>
  <si>
    <t>Группа верстки и визуализации</t>
  </si>
  <si>
    <t>Ведущий архитектор</t>
  </si>
  <si>
    <t>Группа создания макетов</t>
  </si>
  <si>
    <t>Группа презентационного дизайна</t>
  </si>
  <si>
    <t>Центр управления транспортных коммуникаций</t>
  </si>
  <si>
    <t>Гуленков Вадим Алексеевич</t>
  </si>
  <si>
    <t>Абашкина Марина Алексеевна</t>
  </si>
  <si>
    <t>Галяткин Дмитрий Васильевич</t>
  </si>
  <si>
    <t>Журбинский Роман Игоревич</t>
  </si>
  <si>
    <t>Дронов Антон Павлович</t>
  </si>
  <si>
    <t>Вдовина Ирина Алексеевна</t>
  </si>
  <si>
    <t>Егоров Алексей Николаевич</t>
  </si>
  <si>
    <t>Прунцев Глеб Олегович</t>
  </si>
  <si>
    <t>Тюрин Антон Геннадиевич</t>
  </si>
  <si>
    <t>Сергеев Дмитрий Владимирович</t>
  </si>
  <si>
    <t>Хамхоева Наталья Казбековна</t>
  </si>
  <si>
    <t>Свириденков Владимир Эдуардович</t>
  </si>
  <si>
    <t>Ивасенко Сергей Владимирович</t>
  </si>
  <si>
    <t>Данилов Роман Игоревич</t>
  </si>
  <si>
    <t>Валамат-Заде Сабина Джамшедовна</t>
  </si>
  <si>
    <t>Гегамян Нвард Акоповна</t>
  </si>
  <si>
    <t>Годов Андрей Андреевич</t>
  </si>
  <si>
    <t>Загуменная Алла Александровна</t>
  </si>
  <si>
    <t>Ивенский Георгий Андреевич</t>
  </si>
  <si>
    <t>Минаева Екатерина Константиновна</t>
  </si>
  <si>
    <t>Ашпин Михаил Александрович</t>
  </si>
  <si>
    <t>Тихонов Вадим Олегович</t>
  </si>
  <si>
    <t>Филина Александра Дмитриевна</t>
  </si>
  <si>
    <t>Бондаренко Вероника Александровна</t>
  </si>
  <si>
    <t>Либет Анастасия Валерьевна</t>
  </si>
  <si>
    <t>Зеленовский Владимир Вячеславович</t>
  </si>
  <si>
    <t>Караулов Дмитрий Алексеевич</t>
  </si>
  <si>
    <t>Краснов Николай Петрович</t>
  </si>
  <si>
    <t>Муренко Сергей Олегович</t>
  </si>
  <si>
    <t>Савина Екатерина Алексеевна</t>
  </si>
  <si>
    <t>Саркисов Олег Михайлович</t>
  </si>
  <si>
    <t>Хромова Дарья Олеговна</t>
  </si>
  <si>
    <t>Кемик Борис Хайреддинович</t>
  </si>
  <si>
    <t>Аршавский Руслан Рамильевич</t>
  </si>
  <si>
    <t>Аршавский Рустам Рамильевич</t>
  </si>
  <si>
    <t>Николаев Никита Андреевич</t>
  </si>
  <si>
    <t>Кемик Инна Викторовна</t>
  </si>
  <si>
    <t>Алексеев Евгений Владимирович</t>
  </si>
  <si>
    <t>Мирошкин Дмитрий Сергеевич</t>
  </si>
  <si>
    <t>Баракова Анастасия Борисовна</t>
  </si>
  <si>
    <t>Дайменская Анна Владимировна</t>
  </si>
  <si>
    <t>Князев Андрей Дмитриевич</t>
  </si>
  <si>
    <t>Конькова Юлия Николаевна</t>
  </si>
  <si>
    <t>Леккина Анастасия Владимировна</t>
  </si>
  <si>
    <t>Саетова Кира Рамилевна</t>
  </si>
  <si>
    <t>Санникова Александра Сергеевна</t>
  </si>
  <si>
    <t>Швырков Александр Сергеевич</t>
  </si>
  <si>
    <t>Атрепьев Артем Николаевич</t>
  </si>
  <si>
    <t>Глушанков Сергей Васильевич</t>
  </si>
  <si>
    <t>Зазыкина Анастасия Владимировна</t>
  </si>
  <si>
    <t>Кальщиков Виктор Петрович</t>
  </si>
  <si>
    <t>Котов Владислав Русланович</t>
  </si>
  <si>
    <t>Лебедева Виктория Андреевна</t>
  </si>
  <si>
    <t>Мунасыпова Лилия Маратовна</t>
  </si>
  <si>
    <t>Никонова Александра Андреевна</t>
  </si>
  <si>
    <t>Оганесян Арутюн Араикович</t>
  </si>
  <si>
    <t>Фатеев Владислав Андреевич</t>
  </si>
  <si>
    <t xml:space="preserve">Управление проектов организации дорожного движения </t>
  </si>
  <si>
    <t xml:space="preserve">Отдел проектирования перспективных объектов </t>
  </si>
  <si>
    <t>Ведущий инженер</t>
  </si>
  <si>
    <t>Отдел проектирования существующих объектов</t>
  </si>
  <si>
    <t xml:space="preserve">Заместитель начальника отдела </t>
  </si>
  <si>
    <t>Управление проектов дорожного строительства</t>
  </si>
  <si>
    <t xml:space="preserve">Заместитель начальника управления </t>
  </si>
  <si>
    <t>Проектный офис</t>
  </si>
  <si>
    <t>Отдел графического дизайна</t>
  </si>
  <si>
    <t>Отдел анализа существующей застройки</t>
  </si>
  <si>
    <t>Отдел анализа перспективной застройки</t>
  </si>
  <si>
    <t xml:space="preserve">Центр территориальных проектов </t>
  </si>
  <si>
    <t>Управление транспортного развития</t>
  </si>
  <si>
    <t xml:space="preserve">Начальник управления </t>
  </si>
  <si>
    <t>Заместитель начальника управления</t>
  </si>
  <si>
    <t xml:space="preserve">Ведущий аналитик  </t>
  </si>
  <si>
    <t xml:space="preserve">Аналитик </t>
  </si>
  <si>
    <t>Аналитик</t>
  </si>
  <si>
    <t>Отдел анализа наземного городского пассажирского транспорта</t>
  </si>
  <si>
    <t>Начальник дирекции</t>
  </si>
  <si>
    <t>Заместитель начальника дирекции</t>
  </si>
  <si>
    <t>Забловская Ольга Николаевна</t>
  </si>
  <si>
    <t>Кайнова Елизавета Алексеевна</t>
  </si>
  <si>
    <t>Черкасова Софья Владимировна</t>
  </si>
  <si>
    <t>Блинова Светлана Александровна</t>
  </si>
  <si>
    <t>Отдел сопровождения</t>
  </si>
  <si>
    <t>Колыванов Дмитрий Вячеславович</t>
  </si>
  <si>
    <t>Ликсутин Никита Алексеевич</t>
  </si>
  <si>
    <t>Самохин Максим Витальевич</t>
  </si>
  <si>
    <t>Соколова Анна Алексеевна</t>
  </si>
  <si>
    <t>Черная Екатерина Борисовна</t>
  </si>
  <si>
    <t>Чернобаев Глеб Павлович</t>
  </si>
  <si>
    <t>Гильдина Мария Сергеевна</t>
  </si>
  <si>
    <t>Короткова Анастасия Александровна</t>
  </si>
  <si>
    <t>Якимов Максим Васильевич</t>
  </si>
  <si>
    <t>Алборова Екатерина Станиславовна</t>
  </si>
  <si>
    <t>Кальненкова Анастасия Сергеевна</t>
  </si>
  <si>
    <t>Маннанова Регина Халитовна</t>
  </si>
  <si>
    <t>Никитина Елизавета Сергеевна</t>
  </si>
  <si>
    <t>Отдел разработки предварительного проекта организации дорожного движения</t>
  </si>
  <si>
    <t>Ерхов Владислав Витальевич</t>
  </si>
  <si>
    <t>Васин Николай Николаевич</t>
  </si>
  <si>
    <t>Черноусов Андрей Дмитриевич</t>
  </si>
  <si>
    <t>Альперович Анастасия Геннадьевна</t>
  </si>
  <si>
    <t>Шкарин Алексей Владимирович</t>
  </si>
  <si>
    <t>Чернов Александр Игоревич</t>
  </si>
  <si>
    <t>Кругов Анатолий Фёдорович</t>
  </si>
  <si>
    <t>Данилин Ростислав Александрович</t>
  </si>
  <si>
    <t>Бабанов Иван Александрович</t>
  </si>
  <si>
    <t>Колкунова Нина Викторовна</t>
  </si>
  <si>
    <t>Рязанов Андрей Алексеевич</t>
  </si>
  <si>
    <t>Танеев Никита Андреевич</t>
  </si>
  <si>
    <t>Евстигнеева Анастасия Викторовна</t>
  </si>
  <si>
    <t>Воронова Оксана Юрьевна</t>
  </si>
  <si>
    <t>Ненаглядов Алексей Владимирович</t>
  </si>
  <si>
    <t>Ким Алексей Владимирович</t>
  </si>
  <si>
    <t>Приходько Анастасия Юрьевна</t>
  </si>
  <si>
    <t>Герасимов Егор Денисович</t>
  </si>
  <si>
    <t>Лудильщиков Иван Иванович</t>
  </si>
  <si>
    <t>Мехтиев Никита Искандерович</t>
  </si>
  <si>
    <t>Новикова Наталья Николаевна</t>
  </si>
  <si>
    <t>Орешкин Илья Олегович</t>
  </si>
  <si>
    <t>Солдатова Мария Дмитриевна</t>
  </si>
  <si>
    <t>Гласнер Наталья Павловна</t>
  </si>
  <si>
    <t>Гребенникова Екатерина Геннадьевна</t>
  </si>
  <si>
    <t>Килба Азамат Муратович</t>
  </si>
  <si>
    <t>Кирюшатов Станислав Валерьевич</t>
  </si>
  <si>
    <t>Конишов Руслан Фархадович</t>
  </si>
  <si>
    <t>Безрукавный Тимофей Алексеевич</t>
  </si>
  <si>
    <t>Суслин Данила Михайлович</t>
  </si>
  <si>
    <t>Шашков Дмитрий Сергеевич</t>
  </si>
  <si>
    <t>Тарченко Василий Игоревич</t>
  </si>
  <si>
    <t>Сенькин Евгений Алексеевич</t>
  </si>
  <si>
    <t>Пионтковский Александр Русланович</t>
  </si>
  <si>
    <t>Мамсиков Сергей Владимирович</t>
  </si>
  <si>
    <t>Дроздов Никита Самирович</t>
  </si>
  <si>
    <t>Кузьмин Роман Александрович</t>
  </si>
  <si>
    <t>Любимов Илья Александрович</t>
  </si>
  <si>
    <t>Горяева Екатерина Дмитриевна</t>
  </si>
  <si>
    <t>Белокопытов Артем Владимирович</t>
  </si>
  <si>
    <t>Алехина Екатерина Владимировна</t>
  </si>
  <si>
    <t>Дулинева Светлана Сергеевна</t>
  </si>
  <si>
    <t>Шубина Дарья Сергеевна</t>
  </si>
  <si>
    <t>Сакиркина Мария Александровна</t>
  </si>
  <si>
    <t>Голубкова Екатерина Валерьевна</t>
  </si>
  <si>
    <t>Ходыкина Полина Александровна</t>
  </si>
  <si>
    <t>Часовская Анастасия Сергеевна</t>
  </si>
  <si>
    <t>Фоменков Глеб Константинович</t>
  </si>
  <si>
    <t>Федотова Наталья Александровна</t>
  </si>
  <si>
    <t>Соснина Оксана Владимировна</t>
  </si>
  <si>
    <t>Сосков Илья Иванович</t>
  </si>
  <si>
    <t>Дмитриева Ирина Алексеевна</t>
  </si>
  <si>
    <t>Матненко Илья Юрьевич</t>
  </si>
  <si>
    <t>Батарин Кирилл Евгеньевич</t>
  </si>
  <si>
    <t>Прозорова Виктория Сергеевна</t>
  </si>
  <si>
    <t>Чепурной Илья Владимирович</t>
  </si>
  <si>
    <t>Шарай Юлий Николаевич</t>
  </si>
  <si>
    <t>Ловчева Мария Александровна</t>
  </si>
  <si>
    <t>Альмонасид Екатерина Владимировна</t>
  </si>
  <si>
    <t>Твердохлеб Георгий Игоревич</t>
  </si>
  <si>
    <t>Саданова Дарья Александровна</t>
  </si>
  <si>
    <t>Степчков Дмитрий Алексеевич</t>
  </si>
  <si>
    <t>Король Александр Вячеславович</t>
  </si>
  <si>
    <t>Косухин Денис Игоревич</t>
  </si>
  <si>
    <t>Волянский Герман Витальевич</t>
  </si>
  <si>
    <t>Шеркунов Александр Юрьевич</t>
  </si>
  <si>
    <t>Каврыков Антон Валерьевич</t>
  </si>
  <si>
    <t>Соловьева Дарья Андреевна</t>
  </si>
  <si>
    <t>Чиграй Антон Анатольевич</t>
  </si>
  <si>
    <t>Ласенко Юлия Юрьевна</t>
  </si>
  <si>
    <t>Ларичев Андрей Владимирович</t>
  </si>
  <si>
    <t>Пологойко Максим Дмитриевич</t>
  </si>
  <si>
    <t>Яскин Александр Сергеевич</t>
  </si>
  <si>
    <t>Афонская Ксения Михайловна</t>
  </si>
  <si>
    <t>Вартанян Артем Арамаисович</t>
  </si>
  <si>
    <t>Велицкий Дмитрий Александрович</t>
  </si>
  <si>
    <t>Казаков Владимир Сергеевич</t>
  </si>
  <si>
    <t>Костенко Елизавета Александровна</t>
  </si>
  <si>
    <t>Луканова Анастасия Леонидовна</t>
  </si>
  <si>
    <t>Панченко Богдан Сергеевич</t>
  </si>
  <si>
    <t>Полторак Александр Андреевич</t>
  </si>
  <si>
    <t>Толстова Валентина Владимировна</t>
  </si>
  <si>
    <t>Майорова</t>
  </si>
  <si>
    <t>Кукушкина</t>
  </si>
  <si>
    <t>Администрация</t>
  </si>
  <si>
    <t>Административный директор</t>
  </si>
  <si>
    <t>Курский</t>
  </si>
  <si>
    <t>Кузнецова Анастасия Андреевна</t>
  </si>
  <si>
    <t>Чесноков Дмитрий Евгеньевич</t>
  </si>
  <si>
    <t>Цекоев Ипполит Артурович</t>
  </si>
  <si>
    <t>Никитин Ярослав Владимирович</t>
  </si>
  <si>
    <t>Управление внешних связей и внутренних коммуникаций</t>
  </si>
  <si>
    <t>Отдел внешних связей</t>
  </si>
  <si>
    <t>Отдел внутренних коммуникаций</t>
  </si>
  <si>
    <t xml:space="preserve">Отдел по развитию бренда работодателя </t>
  </si>
  <si>
    <t>Управление специальных проектов</t>
  </si>
  <si>
    <t>Отдел специальных проектов</t>
  </si>
  <si>
    <t>Отдел по реализации мероприятий</t>
  </si>
  <si>
    <t>Отдел медиаконтента</t>
  </si>
  <si>
    <t>Сигалова Мария Витальевна</t>
  </si>
  <si>
    <t>Сорокина Юлия Витальевна</t>
  </si>
  <si>
    <t>Школьная Анна Сергеевна</t>
  </si>
  <si>
    <t>Непомнящих Владимир Анатольевич</t>
  </si>
  <si>
    <t>Кожухова Полина Владимировна</t>
  </si>
  <si>
    <t>Бужинская Елена Николаевна</t>
  </si>
  <si>
    <t>Лоцман Карина Рафаэлевна</t>
  </si>
  <si>
    <t>Микеева Юлиана Харисовна</t>
  </si>
  <si>
    <t>Лупин Сергей Александрович</t>
  </si>
  <si>
    <t>Чехова Елена Владимировна</t>
  </si>
  <si>
    <t>Агеева Валерия Игоревна</t>
  </si>
  <si>
    <t>Минаева Мария Олеговна</t>
  </si>
  <si>
    <t>Бучин Дмитрий Юрьевич</t>
  </si>
  <si>
    <t>Думчева Мария Николаевна</t>
  </si>
  <si>
    <t>Смбатян Эльвира Тиграновна</t>
  </si>
  <si>
    <t>Беляков Степан Юрьевич</t>
  </si>
  <si>
    <t>Курганская</t>
  </si>
  <si>
    <t>Расчетно-сметное управление</t>
  </si>
  <si>
    <t>Сметный отдел</t>
  </si>
  <si>
    <t>Главный инженер-сметчик</t>
  </si>
  <si>
    <t>Ведущий инженер-сметчик</t>
  </si>
  <si>
    <t>Ведущий  инженер-сметчик</t>
  </si>
  <si>
    <t>Управление по проектированию организации дорожного движения</t>
  </si>
  <si>
    <t>Отдел управления проектами организации дорожного движения</t>
  </si>
  <si>
    <t>Отдел проектирования организации дорожного движения на линейных объектах</t>
  </si>
  <si>
    <t xml:space="preserve">Ведущий инженер </t>
  </si>
  <si>
    <t>Отдел разработки специальных проектов организации дорожного движения</t>
  </si>
  <si>
    <t>Отдел разработки проектов автоматизированных систем управления дорожным движением</t>
  </si>
  <si>
    <t>Центр сопровождения проектов</t>
  </si>
  <si>
    <t>Отдел сопровождения и автоматизации проектирования</t>
  </si>
  <si>
    <t xml:space="preserve">Начальник отдела </t>
  </si>
  <si>
    <t>Отдел сопровождения и лицензирования</t>
  </si>
  <si>
    <t>Отдел управления инженерно-техническими проектами</t>
  </si>
  <si>
    <t>Отдел инженерных изысканий</t>
  </si>
  <si>
    <t>Архитектурно-строительный отдел</t>
  </si>
  <si>
    <t xml:space="preserve">Главный архитектор </t>
  </si>
  <si>
    <t xml:space="preserve">ВАКАНСИЯ  </t>
  </si>
  <si>
    <t>Иккес Юлия Викторовна</t>
  </si>
  <si>
    <t>Неяскина Инна Михайловна</t>
  </si>
  <si>
    <t>Дубровкина Мария Александровна</t>
  </si>
  <si>
    <t>Карлина Ольга Николаевна</t>
  </si>
  <si>
    <t>Кондратьева Альбина Викторовна</t>
  </si>
  <si>
    <t>Надвоцкая Любовь Ильинична</t>
  </si>
  <si>
    <t>Головченко Ольга Васильевна</t>
  </si>
  <si>
    <t>Субботина Анна Сергеевна</t>
  </si>
  <si>
    <t>Рейникова Татьяна Александровна</t>
  </si>
  <si>
    <t>Панарин Андрей Валерьевич</t>
  </si>
  <si>
    <t>Никишев Георгий Сергеевич</t>
  </si>
  <si>
    <t>Коновалов Михаил Витальевич</t>
  </si>
  <si>
    <t>Борисов Максим Александрович</t>
  </si>
  <si>
    <t>Евстигнеева Полина Руслановна</t>
  </si>
  <si>
    <t>Сигайлов Иван Иванович</t>
  </si>
  <si>
    <t>Ганичев Александр Андреевич</t>
  </si>
  <si>
    <t>Агашин Алексей Олегович</t>
  </si>
  <si>
    <t>Анистархов Никита Арнольдович</t>
  </si>
  <si>
    <t>Блинова Евгения Евгеньевна</t>
  </si>
  <si>
    <t>Гамзаев Эмин Мусеибович</t>
  </si>
  <si>
    <t>Ефремова Ксения Сергеевна</t>
  </si>
  <si>
    <t>Жданов Никита Сергеевич</t>
  </si>
  <si>
    <t>Ильин Виктор Александрович</t>
  </si>
  <si>
    <t>Козлова Лолита Витальевна</t>
  </si>
  <si>
    <t>Лебедев Владислав Вадимович</t>
  </si>
  <si>
    <t>Левин Иван Сергеевич</t>
  </si>
  <si>
    <t>Маслов Алексей Сергеевич</t>
  </si>
  <si>
    <t>Новицкий Алексей Романович</t>
  </si>
  <si>
    <t>Османов Талабани Матлабович</t>
  </si>
  <si>
    <t>Трифонова Марина Александровна</t>
  </si>
  <si>
    <t>Уханов Алексей Олегович</t>
  </si>
  <si>
    <t>Чекун Макар Андреевич</t>
  </si>
  <si>
    <t>Манина Екатерина Михайловна</t>
  </si>
  <si>
    <t>Королев Дмитрий Александрович</t>
  </si>
  <si>
    <t>Медведев Сергей Александрович</t>
  </si>
  <si>
    <t>Назарова Александра Вячеславовна</t>
  </si>
  <si>
    <t>Тришина Алена Геннадьевна</t>
  </si>
  <si>
    <t>Бурцева Светлана Анатольевна</t>
  </si>
  <si>
    <t>Баландин Юрий Сергеевич</t>
  </si>
  <si>
    <t>Болотов Николай Сергеевич</t>
  </si>
  <si>
    <t>Курандина Алина Александровна</t>
  </si>
  <si>
    <t>Неронова Анастасия Александровна</t>
  </si>
  <si>
    <t>Перьков Кирилл Игоревич</t>
  </si>
  <si>
    <t>Семенов Станислав Андреевич</t>
  </si>
  <si>
    <t>Фатеева Анна Михайловна</t>
  </si>
  <si>
    <t>Шеховцова Анна Александровна</t>
  </si>
  <si>
    <t>Бережко Елена Валерьевна</t>
  </si>
  <si>
    <t>Бузорин Андрей Владимирович</t>
  </si>
  <si>
    <t>Игнаткина Екатерина Сергеевна</t>
  </si>
  <si>
    <t>Мамонтова Екатерина Дмитриевна</t>
  </si>
  <si>
    <t>Орлеанская Александра Романовна</t>
  </si>
  <si>
    <t>Хорович Борис Григорьевич</t>
  </si>
  <si>
    <t>Шидлович Мария Ивановна</t>
  </si>
  <si>
    <t>Морозова Софья Николаевна</t>
  </si>
  <si>
    <t>Дрожжин Валерий Юрьевич</t>
  </si>
  <si>
    <t>Басанец Наталья Николаевна</t>
  </si>
  <si>
    <t>Доманов Денис Вячеславович</t>
  </si>
  <si>
    <t>Брыкина Анастасия Владимировна</t>
  </si>
  <si>
    <t>Аюпова Анна Константиновна</t>
  </si>
  <si>
    <t>Ибрагимов Дамир Ильгизович</t>
  </si>
  <si>
    <t>Киселева Антонина Сергеевна</t>
  </si>
  <si>
    <t>Сперанская Алёна Юльевна</t>
  </si>
  <si>
    <t>Тупиков Виталий Олегович</t>
  </si>
  <si>
    <t>Шитов Дмитрий Сергеевич</t>
  </si>
  <si>
    <t>Яковлев Максим Сергеевич</t>
  </si>
  <si>
    <t>Башлай Валерий Александрович</t>
  </si>
  <si>
    <t>Белоусов Иван Александрович</t>
  </si>
  <si>
    <t>Зинченко Александр Владимирович</t>
  </si>
  <si>
    <t>Леонтьев Ярослав Сергеевич</t>
  </si>
  <si>
    <t>Лузгачев Юрий Владимирович</t>
  </si>
  <si>
    <t>Рощупкин Вячеслав Николаевич</t>
  </si>
  <si>
    <t>Сухих Александр Николаевич</t>
  </si>
  <si>
    <t>Трофимова Ольга Николаевна</t>
  </si>
  <si>
    <t>Целиковский Ярослав Михайлович</t>
  </si>
  <si>
    <t>Черникова Виктория Александровна</t>
  </si>
  <si>
    <t>Шахова Юлия Сергеевна</t>
  </si>
  <si>
    <t>Алейников Владислав Владимирович</t>
  </si>
  <si>
    <t>Воротников Максим Александрович</t>
  </si>
  <si>
    <t>Данилова Анна Олеговна</t>
  </si>
  <si>
    <t>Диденко Дмитрий Сергеевич</t>
  </si>
  <si>
    <t>Дудник Оксана Родионовна</t>
  </si>
  <si>
    <t>Кожинский Антон Сергеевич</t>
  </si>
  <si>
    <t>Комнацкая Анна Владимировна</t>
  </si>
  <si>
    <t>Косачева Валерия Борисовна</t>
  </si>
  <si>
    <t>Костюченко Светлана Михайловна</t>
  </si>
  <si>
    <t>Лисеенко Владислав Витальевич</t>
  </si>
  <si>
    <t>Петрович Юлия Александровна</t>
  </si>
  <si>
    <t>Проказина Татьяна Александровна</t>
  </si>
  <si>
    <t>Пылаев Павел Дмитриевич</t>
  </si>
  <si>
    <t>Сухов Александр Александрович</t>
  </si>
  <si>
    <t>Тарасова Ирина Васильевна</t>
  </si>
  <si>
    <t>Фефилов Григорий Вадимович</t>
  </si>
  <si>
    <t>Центр инженерно-технического проектирования</t>
  </si>
  <si>
    <t>Отдел генерального плана</t>
  </si>
  <si>
    <t>Отдел внешних инженерных систем</t>
  </si>
  <si>
    <t>Отдел подготовки архитектурных концепций</t>
  </si>
  <si>
    <t>Главный конструктор</t>
  </si>
  <si>
    <t>Отдел внутренних инженерных систем</t>
  </si>
  <si>
    <t>Отдел подготовки специальных разделов документации</t>
  </si>
  <si>
    <t>Измайлов</t>
  </si>
  <si>
    <t>Управление цифрового развития</t>
  </si>
  <si>
    <t>Отдел автоматизации процессов</t>
  </si>
  <si>
    <t>Отдел технической поддержки</t>
  </si>
  <si>
    <t>Инженер</t>
  </si>
  <si>
    <t>Отдел развития инфраструктуры</t>
  </si>
  <si>
    <t>Отдел кибербезопасности</t>
  </si>
  <si>
    <t>Отдел координации разработки цифровых сервисов</t>
  </si>
  <si>
    <t>Старший программист</t>
  </si>
  <si>
    <t>Программист</t>
  </si>
  <si>
    <t>Отдел управления данными</t>
  </si>
  <si>
    <t>Замолотов Александр Олегович</t>
  </si>
  <si>
    <t>Кузина Мария Владимировна</t>
  </si>
  <si>
    <t>Федорова Ольга Сергеевна</t>
  </si>
  <si>
    <t>Аносова Лада Александровна</t>
  </si>
  <si>
    <t>Ленюк Сергей Сергеевич</t>
  </si>
  <si>
    <t>Пальчиков Павел Юрьевич</t>
  </si>
  <si>
    <t>Алексеев Сергей Александрович</t>
  </si>
  <si>
    <t>Козлов Евгений Викторович</t>
  </si>
  <si>
    <t>Расулов Дилшад Дилмурадович</t>
  </si>
  <si>
    <t>Буров Серафим Юрьевич</t>
  </si>
  <si>
    <t>Гаршина Лариса Александровна</t>
  </si>
  <si>
    <t>Ростова Валерия Олеговна</t>
  </si>
  <si>
    <t>Титов Дмитрий Алексеевич</t>
  </si>
  <si>
    <t>Юдин Лев Игоревич</t>
  </si>
  <si>
    <t>Боровых Станислав Николаевич</t>
  </si>
  <si>
    <t>Габдрахманов Руслан Фларитович</t>
  </si>
  <si>
    <t>Егорова Мария Антоновна</t>
  </si>
  <si>
    <t>Каграманян Давид Геворгович</t>
  </si>
  <si>
    <t>Лодяной Андрей Александрович</t>
  </si>
  <si>
    <t>Львов Сергей Александрович</t>
  </si>
  <si>
    <t>Слетнева Юлия Александровна</t>
  </si>
  <si>
    <t>Осленко Ростислав Алексеевич</t>
  </si>
  <si>
    <t>Фошин Илья Валерьевич</t>
  </si>
  <si>
    <t>Группа защиты государственной тайны</t>
  </si>
  <si>
    <t xml:space="preserve">Начальник группы </t>
  </si>
  <si>
    <t>Полищученко</t>
  </si>
  <si>
    <t>Мартынов Игорь Евгеньевич</t>
  </si>
  <si>
    <t>Селезнёва Анна Николаевна</t>
  </si>
  <si>
    <t>Сафронова Дарья Алексеевна</t>
  </si>
  <si>
    <t>Беляков Алексей Валерьевич</t>
  </si>
  <si>
    <t>Афонин Владимир Владимирович</t>
  </si>
  <si>
    <t>Федюнина Елена Юрьевна</t>
  </si>
  <si>
    <t>Блинова Елена Владимировна</t>
  </si>
  <si>
    <t>Группа по мобилизационной работе</t>
  </si>
  <si>
    <t>Управление безопасности</t>
  </si>
  <si>
    <t>Инженер 1 категории</t>
  </si>
  <si>
    <t>Технический отдел</t>
  </si>
  <si>
    <t xml:space="preserve">Ведущий инженер  </t>
  </si>
  <si>
    <t>Отдел главных инженеров проектов</t>
  </si>
  <si>
    <t>Отдел экологии</t>
  </si>
  <si>
    <t>Группа разработки проектов охраны окружающей среды</t>
  </si>
  <si>
    <t>Группа разработки природоохранной документации</t>
  </si>
  <si>
    <t>Лаборатория по измерению шума</t>
  </si>
  <si>
    <t>Начальник лаборатории</t>
  </si>
  <si>
    <t>Антонов Никита Евгеньевич</t>
  </si>
  <si>
    <t>Белокопытов Андрей Ильич</t>
  </si>
  <si>
    <t>Голубкова Маргарита Владимировна</t>
  </si>
  <si>
    <t>Лукичев Дмитрий Олегович</t>
  </si>
  <si>
    <t>Ляшкевич Илья Федорович</t>
  </si>
  <si>
    <t>Дмитриев Алексей Валериевич</t>
  </si>
  <si>
    <t>Бабичева Станислава Владимировна</t>
  </si>
  <si>
    <t>Власова Анна Андреевна</t>
  </si>
  <si>
    <t>Воевода Дмитрий Олегович</t>
  </si>
  <si>
    <t>Еремеев Алексей Александрович</t>
  </si>
  <si>
    <t>Кузнецов Олег Станиславович</t>
  </si>
  <si>
    <t>Федорова Евгения Вячеславовна</t>
  </si>
  <si>
    <t>Орлов Евгений Александрович</t>
  </si>
  <si>
    <t>Петров Василий Алексеевич</t>
  </si>
  <si>
    <t>Светланова Татьяна Васильевна</t>
  </si>
  <si>
    <t>Сушилина Наталья Алексеевна</t>
  </si>
  <si>
    <t>Козулин Антон Александрович</t>
  </si>
  <si>
    <t>Арефьев Никита Александрович</t>
  </si>
  <si>
    <t>Бакушин Александр Николаевич</t>
  </si>
  <si>
    <t>Гукова Анжелика Арсеновна</t>
  </si>
  <si>
    <t>Козлова Анна Константиновна</t>
  </si>
  <si>
    <t>Купчикова Наталья Викторовна</t>
  </si>
  <si>
    <t>Стрелкова Елизавета Сергеевна</t>
  </si>
  <si>
    <t>Суравикин Денис Алексеевич</t>
  </si>
  <si>
    <t>Тютюнникова Елена Юрьевна</t>
  </si>
  <si>
    <t>Юдичев Александр Вячеславович</t>
  </si>
  <si>
    <t>Лазуткин</t>
  </si>
  <si>
    <t>Гончарова Екатерина Вадимовна</t>
  </si>
  <si>
    <t>Жевлакович Мария Владимировна</t>
  </si>
  <si>
    <t>Василенко Дарья Михайловна</t>
  </si>
  <si>
    <t>Игнатова Маргарита Александровна</t>
  </si>
  <si>
    <t>Казакова Динара Хайдяровна</t>
  </si>
  <si>
    <t>Филиппова Яна Вячеславна</t>
  </si>
  <si>
    <t>Сафронова Ирина Викторовна</t>
  </si>
  <si>
    <t>Соловьева Елизавета Александровна</t>
  </si>
  <si>
    <t>Нагаева Лидия Ивановна</t>
  </si>
  <si>
    <t>Сидоров Артур Валерьевич</t>
  </si>
  <si>
    <t>Юридический отдел</t>
  </si>
  <si>
    <t>Ведущий юрисконсульт</t>
  </si>
  <si>
    <t>Управление эксплуатации</t>
  </si>
  <si>
    <t>Заведующий складом</t>
  </si>
  <si>
    <t>Отдел технической экспертизы наземного пассажирского транспорта</t>
  </si>
  <si>
    <t>Технический эксперт</t>
  </si>
  <si>
    <t>Джафаров Эдуард Эльчинович</t>
  </si>
  <si>
    <t>Отдел документооборота</t>
  </si>
  <si>
    <t>Редактор</t>
  </si>
  <si>
    <t>Курьер</t>
  </si>
  <si>
    <t>Группа оформления и выпуска научно-технической продукции</t>
  </si>
  <si>
    <t>Планово-экономическое управление</t>
  </si>
  <si>
    <t>Отдел исполнения бюджета</t>
  </si>
  <si>
    <t>Управление бухгалтерского учета и отчетности</t>
  </si>
  <si>
    <t>ВАКАНСИЯ  (ИО Мельникова И.) 20% от оклада</t>
  </si>
  <si>
    <t>Ведущий бухгалтер</t>
  </si>
  <si>
    <t>Вейн Кристина Владимировна</t>
  </si>
  <si>
    <t>Купарев Олег Олегович</t>
  </si>
  <si>
    <t>Журавлева Елена Николаевна</t>
  </si>
  <si>
    <t>Зверьков Евгений Сергеевич</t>
  </si>
  <si>
    <t>Маркелов Сергей Дмитриевич</t>
  </si>
  <si>
    <t>Попова Юлия Александровна</t>
  </si>
  <si>
    <t>Ребрун Руслан Иванович</t>
  </si>
  <si>
    <t>Шустов Иван Михайлович</t>
  </si>
  <si>
    <t>Абрамова Наталья Юрьевна</t>
  </si>
  <si>
    <t>Дергачев Павел Валерьевич</t>
  </si>
  <si>
    <t>Иванова Татьяна Викторовна</t>
  </si>
  <si>
    <t>Масик Михаил Николаевич</t>
  </si>
  <si>
    <t>Аляутдинов Ренат Касымович</t>
  </si>
  <si>
    <t>Иваныкин Александр Владимирович</t>
  </si>
  <si>
    <t>Кузенков Александр Владиславович</t>
  </si>
  <si>
    <t>Чадин Сергей Евгеньевич</t>
  </si>
  <si>
    <t>Шабайкин Руслан Умярович</t>
  </si>
  <si>
    <t>Задачина Елизавета Николаевна</t>
  </si>
  <si>
    <t>Зверькова Анна Владимировна</t>
  </si>
  <si>
    <t>Исаева Лариса Павловна</t>
  </si>
  <si>
    <t>Карпушкина Людмила Сергеевна</t>
  </si>
  <si>
    <t>Мурылева Любовь Ильинична</t>
  </si>
  <si>
    <t>Павелко Виктория Александровна</t>
  </si>
  <si>
    <t>Штатова Оксана Анатольевна</t>
  </si>
  <si>
    <t>Зеленцова Ирина Сергеевна</t>
  </si>
  <si>
    <t>Киташкина Наталья Владимировна</t>
  </si>
  <si>
    <t>Кихай Надежда Викторовна</t>
  </si>
  <si>
    <t>Словесный Александр Павлович</t>
  </si>
  <si>
    <t>Соколова Галина Григорьевна</t>
  </si>
  <si>
    <t>Майстренко Денис Юрьевич</t>
  </si>
  <si>
    <t>Трифонова Лидия Николаевна</t>
  </si>
  <si>
    <t>Белкина Наталья Валерьевна</t>
  </si>
  <si>
    <t>Гурова Наталья Николаевна</t>
  </si>
  <si>
    <t>Мельникова Ирина Александровна</t>
  </si>
  <si>
    <t>Темирова Елена Мухамедовна</t>
  </si>
  <si>
    <t>Макшина Наталья Сергеевна</t>
  </si>
  <si>
    <t>Хаустов Олег Евгеньевич</t>
  </si>
  <si>
    <t>Ивлев Всеволод Александрович</t>
  </si>
  <si>
    <t>Управление стратегии и операционной эффективности</t>
  </si>
  <si>
    <t>Чикишева Дарья Сергеевна</t>
  </si>
  <si>
    <t>Слюсарева Наталья Владимировна</t>
  </si>
  <si>
    <t>Блохин Фёдор Михайлович</t>
  </si>
  <si>
    <t>Майоров Алексей Сергеевич</t>
  </si>
  <si>
    <t>Заболотний Владимир Константинович</t>
  </si>
  <si>
    <t>Зотова Виктория Сергеевна</t>
  </si>
  <si>
    <t>Григорян Артем Вазгенович</t>
  </si>
  <si>
    <t>Иванов Алексей Валерьевич</t>
  </si>
  <si>
    <t>Измайлов Станислав Владимирович</t>
  </si>
  <si>
    <t>Кукушкина Валерия Павловна</t>
  </si>
  <si>
    <t>Курганская Марина Владимировна</t>
  </si>
  <si>
    <t>Курский Андрей Юрьевич</t>
  </si>
  <si>
    <t>Кустов Николай Сергеевич</t>
  </si>
  <si>
    <t>Лазуткин Юрий Викторович</t>
  </si>
  <si>
    <t>Майорова Мария Сергеевна</t>
  </si>
  <si>
    <t>Мураткина Валерия Александровна</t>
  </si>
  <si>
    <t>Полищученко Владислав Анатольевич</t>
  </si>
  <si>
    <t>Селезнева Анастасия Сергеевна</t>
  </si>
  <si>
    <t>Титов Владимир Павлович</t>
  </si>
  <si>
    <t>Кузнецов Алексей Владимирович</t>
  </si>
  <si>
    <t>Седых Роман Кириллович</t>
  </si>
  <si>
    <t>Тихомиров Дмитрий Игоревич</t>
  </si>
  <si>
    <t>Поскакалова Дарья Кирилловна</t>
  </si>
  <si>
    <t>Заботкина Яна Эдуардовна</t>
  </si>
  <si>
    <t>Журавский Юрий Ростиславович</t>
  </si>
  <si>
    <t>Семенов Александр Дмитриевич</t>
  </si>
  <si>
    <t>Балан Дамиана Игоревна</t>
  </si>
  <si>
    <t>Малгалян Ангелина Григорьевна</t>
  </si>
  <si>
    <t>Кулаев Алан Русланович</t>
  </si>
  <si>
    <t>Омарова Фатима Сафаровна</t>
  </si>
  <si>
    <t>Бокша Павел Сергеевич</t>
  </si>
  <si>
    <t>Сперанский Алексей Алексеевич</t>
  </si>
  <si>
    <t>Новикова Любима Андреевна</t>
  </si>
  <si>
    <t>Дирекция проектирования городской среды</t>
  </si>
  <si>
    <t>Архитектор</t>
  </si>
  <si>
    <t>Отдел разработки линейных объектов</t>
  </si>
  <si>
    <t>Отдел разработки территориальных объектов</t>
  </si>
  <si>
    <t>Управление транспортного моделирования и экспертизы</t>
  </si>
  <si>
    <t>Кокора Эвелина Евгеньевна</t>
  </si>
  <si>
    <t>Управление по сопровождению проектной деятельности</t>
  </si>
  <si>
    <t>Пенкин Кирилл Александрович</t>
  </si>
  <si>
    <t>Логвиненко Евгений Сергеевич</t>
  </si>
  <si>
    <t>Дудко Дмитрий Владимирович</t>
  </si>
  <si>
    <t xml:space="preserve">Научная группа </t>
  </si>
  <si>
    <t>Административно-организационная группа</t>
  </si>
  <si>
    <t>Финансовый директор</t>
  </si>
  <si>
    <t>Технический директор</t>
  </si>
  <si>
    <t>Советник руководителя</t>
  </si>
  <si>
    <t>Директор по управлению персоналом</t>
  </si>
  <si>
    <t>Главный специалист по связям с общественностью</t>
  </si>
  <si>
    <t>Ведущий специалист по маркетингу</t>
  </si>
  <si>
    <t>Специалист по маркетингу</t>
  </si>
  <si>
    <t>Ведущий дизайнер-визуализатор</t>
  </si>
  <si>
    <t>Ведущий дизайнер</t>
  </si>
  <si>
    <t>Видеодизайнер</t>
  </si>
  <si>
    <t>Консультант по закупкам</t>
  </si>
  <si>
    <t>Главный специалист по кадрам</t>
  </si>
  <si>
    <t>Руководитель проекта</t>
  </si>
  <si>
    <t>Главный специалист по организации и оплате труда</t>
  </si>
  <si>
    <t>Главный инженер проекта</t>
  </si>
  <si>
    <t>Главный специалист по охране окружающей среды</t>
  </si>
  <si>
    <t>Администратор проекта</t>
  </si>
  <si>
    <t>Заместитель главного бухгалтера</t>
  </si>
  <si>
    <t>Главный экономист</t>
  </si>
  <si>
    <t>Ведущий экономист</t>
  </si>
  <si>
    <t>Главный бухгалтер</t>
  </si>
  <si>
    <t>Главный специалист по эксплуатации</t>
  </si>
  <si>
    <t>Ведущий инженер по эксплуатации</t>
  </si>
  <si>
    <t>Центр обеспечения</t>
  </si>
  <si>
    <t xml:space="preserve">Старший оператор оборудования цифровой печати </t>
  </si>
  <si>
    <t>Ведущий специалист полиграфического производства</t>
  </si>
  <si>
    <t>Главный архитектор проекта</t>
  </si>
  <si>
    <t>Техник</t>
  </si>
  <si>
    <t>Главный специалист по безопасности</t>
  </si>
  <si>
    <t>Ведущий специалист по безопасности</t>
  </si>
  <si>
    <t>Арт-директор</t>
  </si>
  <si>
    <t xml:space="preserve">Главный специалист по защите информации </t>
  </si>
  <si>
    <t>Главный специалист по информационным ресурсам</t>
  </si>
  <si>
    <t>Главный дизайнер</t>
  </si>
  <si>
    <t xml:space="preserve">Дизайнер  </t>
  </si>
  <si>
    <t>Дизайнер-визуализатор</t>
  </si>
  <si>
    <t>Управление архитектурного проектирования городской среды</t>
  </si>
  <si>
    <t xml:space="preserve">Дирекция по правовому обеспечению деятельности </t>
  </si>
  <si>
    <t>Иванов Максим Арсеньевич</t>
  </si>
  <si>
    <t>Феоктистова Елизавета Сергеевна</t>
  </si>
  <si>
    <t>Паненко Дмитрий Александрович</t>
  </si>
  <si>
    <t>Мантрова Екатерина Витальевна</t>
  </si>
  <si>
    <t>Мышляев Александр Владимирович</t>
  </si>
  <si>
    <t>Ковалёв Игорь Юрьевич</t>
  </si>
  <si>
    <t>Бородинова Валерия Владимировна</t>
  </si>
  <si>
    <t>Асадуллин Ринат Рустамович</t>
  </si>
  <si>
    <t>Экспертная группа</t>
  </si>
  <si>
    <t>Главный специалист по административно-хозяйственному обеспечению</t>
  </si>
  <si>
    <t>Попов Вадим Александрович</t>
  </si>
  <si>
    <t>Морозова Александра Эдуардовна</t>
  </si>
  <si>
    <t>Казанцев Руслан Константинович</t>
  </si>
  <si>
    <t>Большова Наталья Александровна</t>
  </si>
  <si>
    <t>Семенихин Константин Сергеевич</t>
  </si>
  <si>
    <t>Маликова Дарья Александровна</t>
  </si>
  <si>
    <t>Петрищева Екатерина Сергеевна</t>
  </si>
  <si>
    <t>Викторова Мария Вильевна</t>
  </si>
  <si>
    <t>Салихова Маргарита Сергеевна</t>
  </si>
  <si>
    <t>Андреева Александра Владимировна</t>
  </si>
  <si>
    <t>Кураксин Антон Александрович</t>
  </si>
  <si>
    <t>Стрелкова Наталья Сергеевна</t>
  </si>
  <si>
    <t>Грицай Виктор Викторович</t>
  </si>
  <si>
    <t>Михалева Влада Александровна</t>
  </si>
  <si>
    <t>Боканхель Артем Игоревич</t>
  </si>
  <si>
    <t>Тишкин Станислав Олегович</t>
  </si>
  <si>
    <t>Фаустов Андрей Александрович</t>
  </si>
  <si>
    <t>Андрюков Антон Артемович</t>
  </si>
  <si>
    <t>Неверов Данил Александрович</t>
  </si>
  <si>
    <t>Никишева Светлана Павловна</t>
  </si>
  <si>
    <t>Колесникова Диана Игоревна</t>
  </si>
  <si>
    <t>Кузькин Андрей Викторович</t>
  </si>
  <si>
    <t>Борисов Максим Игоревич</t>
  </si>
  <si>
    <t>Короткова Елена Николаевна</t>
  </si>
  <si>
    <t>Смердов Максим Анатольевич</t>
  </si>
  <si>
    <t>Аноскина Екатерина Геннадьевна</t>
  </si>
  <si>
    <t>Телегин Максим Михайлович</t>
  </si>
  <si>
    <t>Бугакина Татьяна Викторовна</t>
  </si>
  <si>
    <t>Каргальцева Екатерина Алексеевна</t>
  </si>
  <si>
    <t>Форостов Никита Олегович</t>
  </si>
  <si>
    <t>Вороневская Анна Алексеевна</t>
  </si>
  <si>
    <t>Аванесова Юлия Сергеевна</t>
  </si>
  <si>
    <t>Коновалова Татьяна Алексеевна</t>
  </si>
  <si>
    <t>Гольденберг Леонид Маркович</t>
  </si>
  <si>
    <t>Красанов Кирилл Ильич</t>
  </si>
  <si>
    <t>Белякова Александра Алексеевна</t>
  </si>
  <si>
    <t>Киселев Антон Александрович</t>
  </si>
  <si>
    <t>Ерофеев Павел Викторович</t>
  </si>
  <si>
    <t>Русаков Игорь Алексеевич</t>
  </si>
  <si>
    <t>Задорожный Александр Сергеевич</t>
  </si>
  <si>
    <t>Тимошенко Надежда Владимировна</t>
  </si>
  <si>
    <t>Васильев Роман Владимирович</t>
  </si>
  <si>
    <t>Челышков Игорь Михайлович</t>
  </si>
  <si>
    <t>Коннова Татьяна Николаевна</t>
  </si>
  <si>
    <t>Сокольников Андрей Алексеевич</t>
  </si>
  <si>
    <t>Тоболь Владимир Дмитриевич</t>
  </si>
  <si>
    <t>Зотова Софья Александровна</t>
  </si>
  <si>
    <t>Минаков Андрей Сергеевич</t>
  </si>
  <si>
    <t>Хабибуллин Адель Азатович</t>
  </si>
  <si>
    <t>Бородулин Григорий Игоревич</t>
  </si>
  <si>
    <t>Дружинин Антон Сергеевич</t>
  </si>
  <si>
    <t>Головачев Алексей Владимирович</t>
  </si>
  <si>
    <t>Дескович Дарья Владимировна</t>
  </si>
  <si>
    <t>Карманов Виталий Валериевич</t>
  </si>
  <si>
    <t>Жуков Андрей Максимович</t>
  </si>
  <si>
    <t>Богомягкова Екатерина Эдуардовна</t>
  </si>
  <si>
    <t>Больдясов Алексей Ильич</t>
  </si>
  <si>
    <t>Мулика Наталья Вячеславовна</t>
  </si>
  <si>
    <t>Козлов Павел Максимович</t>
  </si>
  <si>
    <t>Яшин Иван Владимирович</t>
  </si>
  <si>
    <t>Генеральный директор</t>
  </si>
  <si>
    <t>Первый заместитель генерального директора</t>
  </si>
  <si>
    <t>Заместитель генерального директора</t>
  </si>
  <si>
    <t>Заместитель генерального директора-руководитель контрактной службы</t>
  </si>
  <si>
    <t>Директор по коммуникациям</t>
  </si>
  <si>
    <t>Ведущий руководитель проектов</t>
  </si>
  <si>
    <t>Макетчик макетно-модельного проектирования</t>
  </si>
  <si>
    <t>Главный специалист градостроительства</t>
  </si>
  <si>
    <t>Главный специалист по разработке проектов организации дорожного движения</t>
  </si>
  <si>
    <t>Главный разработчик технической документации</t>
  </si>
  <si>
    <t>Главный специалист по организации инженерных изысканий</t>
  </si>
  <si>
    <t>Главный специалист по проектированию систем связи</t>
  </si>
  <si>
    <t>Главный архитектор-дизайнер</t>
  </si>
  <si>
    <t>Главный инженер-конструктор</t>
  </si>
  <si>
    <t>Главный архитектор проекта реставрации</t>
  </si>
  <si>
    <t>Ведущий архитектор-дизайнер</t>
  </si>
  <si>
    <t>Главный документовед</t>
  </si>
  <si>
    <t>Ведущий документовед</t>
  </si>
  <si>
    <t>Специалист по секретному делопроизводству</t>
  </si>
  <si>
    <t>Главный специалист по персоналу</t>
  </si>
  <si>
    <t>Ведущий специалист по персоналу</t>
  </si>
  <si>
    <t>Управление развития персонала и карьеры</t>
  </si>
  <si>
    <t>Управление поддержки пользователей и ИТ-инфрастурктуры</t>
  </si>
  <si>
    <t>Никогосьян Антон Андреевич</t>
  </si>
  <si>
    <t>Сильченкова Ангелина Владимировна</t>
  </si>
  <si>
    <t>Вабищевич Александр Эдуардович</t>
  </si>
  <si>
    <t>Лобанов Дмитрий Михайлович</t>
  </si>
  <si>
    <t>Пожилов Антон Владимирович</t>
  </si>
  <si>
    <t>Поляков Егор Андреевич</t>
  </si>
  <si>
    <t>Мушель Вероника Ильинична</t>
  </si>
  <si>
    <t>Кирпичникова Екатерина Александровна</t>
  </si>
  <si>
    <t>Андреева Анастасия Александровна</t>
  </si>
  <si>
    <t>Тихоневич Алиса Михайловна</t>
  </si>
  <si>
    <t>Чернецев Никита Сергеевич</t>
  </si>
  <si>
    <t>Трифонова Татьяна Александровна</t>
  </si>
  <si>
    <t>Крохин Сергей Александрович</t>
  </si>
  <si>
    <t>Буслаев Евгений Александрович</t>
  </si>
  <si>
    <t>Вайсбург Данила Владимирович</t>
  </si>
  <si>
    <t>Писаный Денис Александрович</t>
  </si>
  <si>
    <t>Иванов Андрей Евгеньевич</t>
  </si>
  <si>
    <t>Чиркина Мария Юрьевна</t>
  </si>
  <si>
    <t>Валяев Илья Витальевич</t>
  </si>
  <si>
    <t>Леванова Юлия Николаевна</t>
  </si>
  <si>
    <t>Моисеев Александр Эдуардович</t>
  </si>
  <si>
    <t>Богданова Екатерина Владимировна</t>
  </si>
  <si>
    <t>Центр подбора персонала</t>
  </si>
  <si>
    <t>Варламов Глеб Николаевич</t>
  </si>
  <si>
    <t>Путинцева Ольга Валериевна</t>
  </si>
  <si>
    <t>Русаков Никита Вадимович</t>
  </si>
  <si>
    <t>Макеечев Михаил Михайлович</t>
  </si>
  <si>
    <t>Марыныч Владимир Викторович</t>
  </si>
  <si>
    <t>Биллаев Анзор Метлебович</t>
  </si>
  <si>
    <t>Лобанов Илья Михайлович</t>
  </si>
  <si>
    <t>Зайкин Дмитрий Владимирович</t>
  </si>
  <si>
    <t>Сорокина Виктория Валерьевна</t>
  </si>
  <si>
    <t>Шугуров Михаил Александрович</t>
  </si>
  <si>
    <t>Шаталин Юрий Владимирович</t>
  </si>
  <si>
    <t>Кузьмина Мария Николаевна</t>
  </si>
  <si>
    <t>Осипенков Денис Вячеславович</t>
  </si>
  <si>
    <t>Группа контроля и координации проектов</t>
  </si>
  <si>
    <t>Кузьмина Валентина Сергеевна</t>
  </si>
  <si>
    <t>Стажер Кустов</t>
  </si>
  <si>
    <t>Хаитбаев Тимур Ойбекович</t>
  </si>
  <si>
    <t>Жебрикова Наталья Владимировна</t>
  </si>
  <si>
    <t>Фомичёва Елена Викторовна</t>
  </si>
  <si>
    <t>Литвинцев Алексей Валерьевич</t>
  </si>
  <si>
    <t>Зиннатуллин Тимур Равилевич</t>
  </si>
  <si>
    <t>Рубан Дмитрий Алексеевич</t>
  </si>
  <si>
    <t>Живчиков Дмитрий Сергеевич</t>
  </si>
  <si>
    <t>Баранов Глеб Романович</t>
  </si>
  <si>
    <t>Косминская Алиса Максимовна</t>
  </si>
  <si>
    <t>Прокопенков Александр Владимирович</t>
  </si>
  <si>
    <t>Шевченко Илья Сергеевич</t>
  </si>
  <si>
    <t>Пушкарев Арсений Георгиевич</t>
  </si>
  <si>
    <t>Плаксенко Игорь Геннадьевич</t>
  </si>
  <si>
    <t>Тен Ольга Сергеевна</t>
  </si>
  <si>
    <t>Красюк Сергей Сергеевич</t>
  </si>
  <si>
    <t>Киселев-Борзых Дмитрий Андреевич</t>
  </si>
  <si>
    <t>Иванов Иван Владимирович</t>
  </si>
  <si>
    <t>Сенин Андрей Сергеевич</t>
  </si>
  <si>
    <t>Новиков Владимир Андреевич</t>
  </si>
  <si>
    <t>Сорокина Мария Алексеевна</t>
  </si>
  <si>
    <t>Буданов Виктор Игоревич</t>
  </si>
  <si>
    <t>Пищулина Анна Сергеевна</t>
  </si>
  <si>
    <t>Алейникова Анастасия Сергеевна</t>
  </si>
  <si>
    <t>Ельчина Екатерина Николаевна</t>
  </si>
  <si>
    <t>Андрюшкина Дарья Евгеньевна</t>
  </si>
  <si>
    <t>Кулеша Алексей Александрович</t>
  </si>
  <si>
    <t>Болотина Татьяна Александровна</t>
  </si>
  <si>
    <t>Родионова Полина Максимовна</t>
  </si>
  <si>
    <t>Яблоков Павел Александрович</t>
  </si>
  <si>
    <t>Подрубаев Андрей Борисович</t>
  </si>
  <si>
    <t>Хасанов Денис Владимирович</t>
  </si>
  <si>
    <t>Управление градостроительного анализа</t>
  </si>
  <si>
    <t>Пасынский Алексей Александрович</t>
  </si>
  <si>
    <t>Управление планирования наземного городского пассажирского транспорта</t>
  </si>
  <si>
    <t>Такташов Наиль Исмаилович</t>
  </si>
  <si>
    <t>Веременко Кирилл Александрович</t>
  </si>
  <si>
    <t>Заяц Анна Ивановна</t>
  </si>
  <si>
    <t>Морозов Алексей Дмитриевич</t>
  </si>
  <si>
    <t>Белова Мария Сергеевна</t>
  </si>
  <si>
    <t>Чиж Павел Валерьевич</t>
  </si>
  <si>
    <t>Колобова Софья Сергеевна</t>
  </si>
  <si>
    <t>Ранько Андрей Сергеевич</t>
  </si>
  <si>
    <t>Полосина Дарья Денисовна</t>
  </si>
  <si>
    <t>Махин Александр Максимович</t>
  </si>
  <si>
    <t>Жукова Ольга Васильевна</t>
  </si>
  <si>
    <t xml:space="preserve">Липатникова Ольга Михайловна </t>
  </si>
  <si>
    <t>Корсантия Георгий Гурамович</t>
  </si>
  <si>
    <t>Пилипенко Екатерина Сергеевна</t>
  </si>
  <si>
    <t>Гиндия Экатерина Тенгизовна</t>
  </si>
  <si>
    <t>Мельниченко Николай Николаевич</t>
  </si>
  <si>
    <t>Шубин Егор Александрович</t>
  </si>
  <si>
    <t>Коряжнова Олеся Олеговна</t>
  </si>
  <si>
    <t>Кулагин Павел Олегович</t>
  </si>
  <si>
    <t>Гузень Надежда Андреевна</t>
  </si>
  <si>
    <t>Кузьменко Илья Григорьевич</t>
  </si>
  <si>
    <t>Гущин Егор Андреевич</t>
  </si>
  <si>
    <t>Хамзин Ринат Рафикович</t>
  </si>
  <si>
    <t>Шепилов Николай Андреевич</t>
  </si>
  <si>
    <t>Константинов Алексей Николаевич</t>
  </si>
  <si>
    <t>Дзимистарашвили Борис Александрович</t>
  </si>
  <si>
    <t>Овсюков Дмитрий Алексеевич</t>
  </si>
  <si>
    <t>Власов Александр Сергеевич</t>
  </si>
  <si>
    <t>Вострикова Екатерина Александровна</t>
  </si>
  <si>
    <t>Кременецкий Николай Константинович</t>
  </si>
  <si>
    <t>Костюхин Михаил Алексеевич</t>
  </si>
  <si>
    <t>Кукарская Юлия Денисовна</t>
  </si>
  <si>
    <t>Жлуктова Варвара Варя Сергеевна</t>
  </si>
  <si>
    <t>Барышков Арсений Максимович</t>
  </si>
  <si>
    <t>Надин Иван Яковлевич</t>
  </si>
  <si>
    <t>Кузьмин Вадим Игоревич</t>
  </si>
  <si>
    <t>Бурацкий Руслан Алексеевич</t>
  </si>
  <si>
    <t>Гиль Татьяна Александровна</t>
  </si>
  <si>
    <t>Чечет Дмитрий Максимович</t>
  </si>
  <si>
    <t xml:space="preserve">Стажер Майоровой </t>
  </si>
  <si>
    <t>Архипова Дарья Денисовна</t>
  </si>
  <si>
    <t>Сабирова Гавхорой Шавкатовна</t>
  </si>
  <si>
    <t>Гарбузов Никита Александрович</t>
  </si>
  <si>
    <t>Муравьева Светлана Викторовна</t>
  </si>
  <si>
    <t>Вихров Кирилл Александрович</t>
  </si>
  <si>
    <t>Шабаршов Игорь Владимирович</t>
  </si>
  <si>
    <t>Мараева Ксения Александровна</t>
  </si>
  <si>
    <t>Головач Станислав Сергеевич</t>
  </si>
  <si>
    <t>Шабунина Марина Львовна</t>
  </si>
  <si>
    <t>Давыдова Лилия Львовна</t>
  </si>
  <si>
    <t>Поляков Александр Евгеньевич</t>
  </si>
  <si>
    <t>Арбузова Анастасия Владимировна</t>
  </si>
  <si>
    <t>Лысов Александр Андреевич</t>
  </si>
  <si>
    <t>Фирсова Анна Александровна</t>
  </si>
  <si>
    <t>Романов Виктор Вячеславович</t>
  </si>
  <si>
    <t>Лямзова Ольга Александровна</t>
  </si>
  <si>
    <t>Гучева Анастасия Владиславовна</t>
  </si>
  <si>
    <t>Абалишин Михаил Михайлович</t>
  </si>
  <si>
    <t>Митюкова Мария Александровна</t>
  </si>
  <si>
    <t>Кулёва Ольга Сергеевна</t>
  </si>
  <si>
    <t>Дьяченко Дмитрий Александрович</t>
  </si>
  <si>
    <t>Жидкова Юлия Сергеевна</t>
  </si>
  <si>
    <t>Чехов Семен Алексеевич</t>
  </si>
  <si>
    <t>Шепелев Илья Геннадьевич</t>
  </si>
  <si>
    <t>Бережная Мария Андреевна</t>
  </si>
  <si>
    <t>Ашпиз Евгений Самуилович</t>
  </si>
  <si>
    <t>Кулина Ольга Николаевна</t>
  </si>
  <si>
    <t>Нарцис Яков Вадимович</t>
  </si>
  <si>
    <t>Лобанова Алена Андреевна</t>
  </si>
  <si>
    <t>Войнов Алексей Владимирович</t>
  </si>
  <si>
    <t>Ткачева Кристина Игоревна</t>
  </si>
  <si>
    <t>Синяк Никита Сергеевич</t>
  </si>
  <si>
    <t>ВАКАНСИЯ Шендрик</t>
  </si>
  <si>
    <t>Трещев Владислав Дмитриевич</t>
  </si>
  <si>
    <t>Киямова Елена Андреевна</t>
  </si>
  <si>
    <t>Гутников Павел Юрьевич</t>
  </si>
  <si>
    <t>Коган Анастасия Сергеевна</t>
  </si>
  <si>
    <t>Ширинова Маргарита Сергеевна</t>
  </si>
  <si>
    <t>Михайлиди Валерий Андреевич</t>
  </si>
  <si>
    <t>Группа исследований и автоматизации аналитики</t>
  </si>
  <si>
    <t>Отдел разработки сервисов</t>
  </si>
  <si>
    <t>Группа инновационных разработок</t>
  </si>
  <si>
    <t>Дирекция транспортных проектов</t>
  </si>
  <si>
    <t xml:space="preserve">Советник руководителя </t>
  </si>
  <si>
    <t>Центр развития транспортно-пересадочных узлов</t>
  </si>
  <si>
    <t>Отдел сопровождения транспортно-пересадочных узлов</t>
  </si>
  <si>
    <t>Центр развития рельсового каркаса</t>
  </si>
  <si>
    <t>Отдел информационного сопровождения мероприятий</t>
  </si>
  <si>
    <t>Отдел развития рельсового каркаса</t>
  </si>
  <si>
    <t>Центр специальных транспортных проектов</t>
  </si>
  <si>
    <t>Отдел инфраструктурных проектов</t>
  </si>
  <si>
    <t>Центр разработки стратегий транспортного обслуживания</t>
  </si>
  <si>
    <t>Отдел анализа транспортных систем</t>
  </si>
  <si>
    <t>Центр управления проектами и развитием</t>
  </si>
  <si>
    <t>Отдел развития стратегических проектов</t>
  </si>
  <si>
    <t>Центр архитектурных решений</t>
  </si>
  <si>
    <t>Отдел управления общими проектами</t>
  </si>
  <si>
    <t>Дирекция по проектированию капитальных и линейных объектов</t>
  </si>
  <si>
    <t>Отдел рельсовых путей трамвая и контактных сетей</t>
  </si>
  <si>
    <t>Группа информационного моделирования</t>
  </si>
  <si>
    <t>Группа нормоконтроля</t>
  </si>
  <si>
    <t xml:space="preserve">Руководитель проекта </t>
  </si>
  <si>
    <t>Управление по реализации проектов и лабораторным измерениям</t>
  </si>
  <si>
    <t>Отдел управления проектами городского пассажирского транспорта</t>
  </si>
  <si>
    <t>Группа по измерению характеристик транспорта</t>
  </si>
  <si>
    <t>Группа прямых инструментальных измерений</t>
  </si>
  <si>
    <t>Группа по измерениям химических факторов</t>
  </si>
  <si>
    <t>Слученкова Галина Юрьевна</t>
  </si>
  <si>
    <t>Рустанович Анна Павловна</t>
  </si>
  <si>
    <t>ВАКАНСИЯ Боровиков Дмитрий</t>
  </si>
  <si>
    <t>Повесьма Екатерина Станиславовна</t>
  </si>
  <si>
    <t>Юрьев Вадим Николаевич</t>
  </si>
  <si>
    <t>Погосян Эрик Гарегинович</t>
  </si>
  <si>
    <t>Центр стратегического планирования</t>
  </si>
  <si>
    <t>Чирко Павел Александрович</t>
  </si>
  <si>
    <t>Бычков Егор Сергеевич</t>
  </si>
  <si>
    <t>Стекленев Антон Юрьевич</t>
  </si>
  <si>
    <t>Щедрин Николай Сергеевич</t>
  </si>
  <si>
    <t>Заиграйкин Иван Романович</t>
  </si>
  <si>
    <t>Зухуров Рустам Хайриддинович</t>
  </si>
  <si>
    <t>Серкин Матвей Валерьевич</t>
  </si>
  <si>
    <t>Помогаев Роман Витальевич</t>
  </si>
  <si>
    <t>ВАКАНСИЯ Джеренашвили Паата</t>
  </si>
  <si>
    <t>Макаров Руслан Александрович</t>
  </si>
  <si>
    <t>Бузин Сергей Викторович</t>
  </si>
  <si>
    <t>Черешнев Дмитрий Александрович</t>
  </si>
  <si>
    <t>Коваленко Ксения Сергеевна</t>
  </si>
  <si>
    <t>Хапова Анжелика Александровна</t>
  </si>
  <si>
    <t>ВАКАНСИЯ планируется перевод Гребенниковой</t>
  </si>
  <si>
    <t>ВАКАНСИЯ перевод Киселев Антон с 01.07.2026</t>
  </si>
  <si>
    <t>ВАКАНСИЯ Тимощук Данила</t>
  </si>
  <si>
    <t>Кукушкина Алёна Владимировна</t>
  </si>
  <si>
    <t>Веденина Юлия Дмитриевна</t>
  </si>
  <si>
    <t>Есаков Никита Сергеевич</t>
  </si>
  <si>
    <t>Головенкина Мария Александровна</t>
  </si>
  <si>
    <t>Яковлев Максим Романович</t>
  </si>
  <si>
    <t>Германов Михаил Валентинович</t>
  </si>
  <si>
    <t>Худоян Анна Азизовна</t>
  </si>
  <si>
    <t>Садеев Вагиз Альбертович</t>
  </si>
  <si>
    <t>Мунина Анастасия Константиновна</t>
  </si>
  <si>
    <r>
      <t xml:space="preserve">Стасевич Анна Людвиговна </t>
    </r>
    <r>
      <rPr>
        <sz val="11"/>
        <color rgb="FFFF0000"/>
        <rFont val="Moscow Sens"/>
        <charset val="204"/>
      </rPr>
      <t>ВАКАНСИЯ</t>
    </r>
  </si>
  <si>
    <t>ВАКАНСИЯ Лукина Софья</t>
  </si>
  <si>
    <t>ВАКАНСИЯ Белов Алексей</t>
  </si>
  <si>
    <t>Агапова Анна Сергеевна</t>
  </si>
  <si>
    <t>Белов Александр Владимирович</t>
  </si>
  <si>
    <t>Тимощук Данила Максимович</t>
  </si>
  <si>
    <t>ИНН</t>
  </si>
  <si>
    <t xml:space="preserve">Джеренашвили Паата Юрьевич </t>
  </si>
  <si>
    <t>Новиков Максим Романович</t>
  </si>
  <si>
    <t>Рябчикова Мария Александровна</t>
  </si>
  <si>
    <t>771386408042</t>
  </si>
  <si>
    <t>Сёмкин Сергей Андреевич</t>
  </si>
  <si>
    <t>507610874863</t>
  </si>
  <si>
    <t>Эфендиева Динара Тофиковна</t>
  </si>
  <si>
    <t>132602123904</t>
  </si>
  <si>
    <t>Кулагин Дмитрий Евгеньевич</t>
  </si>
  <si>
    <t>771800069053</t>
  </si>
  <si>
    <t>450125578738</t>
  </si>
  <si>
    <t>Солонецкий Максим Александрович</t>
  </si>
  <si>
    <t>772322070803</t>
  </si>
  <si>
    <t>Омельчук Григорий Андреевич</t>
  </si>
  <si>
    <t>771986992634</t>
  </si>
  <si>
    <t>Прочие</t>
  </si>
  <si>
    <t>Приемная ГД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</si>
</sst>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000000"/>
  </numFmts>
  <fonts count="14">
    <font>
      <sz val="11"/>
      <color theme="1"/>
      <name val="Calibri"/>
      <family val="2"/>
      <charset val="204"/>
      <scheme val="minor"/>
    </font>
    <font>
      <sz val="11"/>
      <color theme="1"/>
      <name val="Moscow Sens"/>
      <charset val="204"/>
    </font>
    <font>
      <i/>
      <sz val="11"/>
      <color theme="1"/>
      <name val="Moscow Sens"/>
      <charset val="204"/>
    </font>
    <font>
      <sz val="11"/>
      <color rgb="FFFF0000"/>
      <name val="Moscow Sens"/>
      <charset val="204"/>
    </font>
    <font>
      <b/>
      <i/>
      <sz val="11"/>
      <color theme="1"/>
      <name val="Moscow Sens"/>
      <charset val="204"/>
    </font>
    <font>
      <b/>
      <i/>
      <sz val="11"/>
      <name val="Moscow Sens"/>
      <charset val="204"/>
    </font>
    <font>
      <b/>
      <sz val="12"/>
      <color theme="1"/>
      <name val="Moscow Sens"/>
      <charset val="204"/>
    </font>
    <font>
      <b/>
      <i/>
      <sz val="12"/>
      <color theme="1"/>
      <name val="Moscow Sens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name val="Moscow Sens"/>
      <charset val="204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53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6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" fillId="0" borderId="0" xfId="0" applyFont="1" applyFill="1" applyAlignment="1">
      <alignment wrapTex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43" fontId="2" fillId="0" borderId="0" xfId="1" applyFont="1" applyAlignment="1"/>
    <xf numFmtId="43" fontId="1" fillId="0" borderId="0" xfId="1" applyFont="1" applyAlignment="1">
      <alignment vertical="center"/>
    </xf>
    <xf numFmtId="43" fontId="7" fillId="0" borderId="0" xfId="1" applyFont="1" applyAlignment="1">
      <alignment vertical="center"/>
    </xf>
    <xf numFmtId="43" fontId="1" fillId="0" borderId="0" xfId="1" applyFont="1" applyAlignment="1"/>
    <xf numFmtId="3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1" fontId="1" fillId="0" borderId="1" xfId="0" applyNumberFormat="1" applyFont="1" applyFill="1" applyBorder="1" applyAlignment="1">
      <alignment horizontal="left" vertical="center" wrapText="1"/>
    </xf>
    <xf numFmtId="165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E3F7FD"/>
      <color rgb="FFFDF0DB"/>
      <color rgb="FFF8F6D4"/>
      <color rgb="FFFEF6E8"/>
      <color rgb="FFFFCCCC"/>
      <color rgb="FFCC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roshina_YV\Desktop\&#1092;&#1080;&#1086;%20+%20&#1080;&#1085;&#1085;%2010.06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_1"/>
    </sheetNames>
    <sheetDataSet>
      <sheetData sheetId="0" refreshError="1">
        <row r="1">
          <cell r="A1" t="str">
            <v>Абалишин Михаил Михайлович</v>
          </cell>
          <cell r="B1" t="str">
            <v>772457758200</v>
          </cell>
          <cell r="C1"/>
        </row>
        <row r="2">
          <cell r="A2" t="str">
            <v>Абашкина Марина Алексеевна</v>
          </cell>
          <cell r="B2" t="str">
            <v>772148180169</v>
          </cell>
          <cell r="C2"/>
        </row>
        <row r="3">
          <cell r="A3" t="str">
            <v>Абрамова Наталья Юрьевна</v>
          </cell>
          <cell r="B3" t="str">
            <v>502504189240</v>
          </cell>
          <cell r="C3"/>
        </row>
        <row r="4">
          <cell r="A4" t="str">
            <v>Абросимов Артем Анатольевич</v>
          </cell>
          <cell r="B4" t="str">
            <v>772155768508</v>
          </cell>
          <cell r="C4"/>
        </row>
        <row r="5">
          <cell r="A5" t="str">
            <v>Аванесова Юлия Сергеевна</v>
          </cell>
          <cell r="B5" t="str">
            <v>772034638127</v>
          </cell>
          <cell r="C5"/>
        </row>
        <row r="6">
          <cell r="A6" t="str">
            <v>Агапова Анна Сергеевна</v>
          </cell>
          <cell r="B6" t="str">
            <v>312338289905</v>
          </cell>
          <cell r="C6"/>
        </row>
        <row r="7">
          <cell r="A7" t="str">
            <v>Агашин Алексей Олегович</v>
          </cell>
          <cell r="B7" t="str">
            <v>330105606621</v>
          </cell>
          <cell r="C7"/>
        </row>
        <row r="8">
          <cell r="A8" t="str">
            <v>Агеева Валерия Игоревна</v>
          </cell>
          <cell r="B8" t="str">
            <v>772168060945</v>
          </cell>
          <cell r="C8"/>
        </row>
        <row r="9">
          <cell r="A9" t="str">
            <v>Аксенова Нина Андреевна</v>
          </cell>
          <cell r="B9" t="str">
            <v>772084380875</v>
          </cell>
          <cell r="C9"/>
        </row>
        <row r="10">
          <cell r="A10" t="str">
            <v>Алейников Владислав Владимирович</v>
          </cell>
          <cell r="B10" t="str">
            <v>232805787389</v>
          </cell>
          <cell r="C10"/>
        </row>
        <row r="11">
          <cell r="A11" t="str">
            <v>Алейникова Анастасия Сергеевна</v>
          </cell>
          <cell r="B11" t="str">
            <v>230818072144</v>
          </cell>
          <cell r="C11"/>
        </row>
        <row r="12">
          <cell r="A12" t="str">
            <v>Алексеев Евгений Владимирович</v>
          </cell>
          <cell r="B12" t="str">
            <v>771508791703</v>
          </cell>
          <cell r="C12"/>
        </row>
        <row r="13">
          <cell r="A13" t="str">
            <v>Алексеев Сергей Александрович</v>
          </cell>
          <cell r="B13" t="str">
            <v>771575035533</v>
          </cell>
          <cell r="C13"/>
        </row>
        <row r="14">
          <cell r="A14" t="str">
            <v>Алехина Екатерина Владимировна</v>
          </cell>
          <cell r="B14" t="str">
            <v>681203307727</v>
          </cell>
          <cell r="C14"/>
        </row>
        <row r="15">
          <cell r="A15" t="str">
            <v>Альмонасид Екатерина Владимировна</v>
          </cell>
          <cell r="B15" t="str">
            <v>771381855840</v>
          </cell>
          <cell r="C15"/>
        </row>
        <row r="16">
          <cell r="A16" t="str">
            <v>Альперович Анастасия Геннадьевна</v>
          </cell>
          <cell r="B16" t="str">
            <v>690101859265</v>
          </cell>
          <cell r="C16"/>
        </row>
        <row r="17">
          <cell r="A17" t="str">
            <v>Аляутдинов Ренат Касымович</v>
          </cell>
          <cell r="B17" t="str">
            <v>774360746003</v>
          </cell>
          <cell r="C17"/>
        </row>
        <row r="18">
          <cell r="A18" t="str">
            <v>Аляутдинов Ренат Касымович</v>
          </cell>
          <cell r="B18" t="str">
            <v>774360746003</v>
          </cell>
          <cell r="C18"/>
        </row>
        <row r="19">
          <cell r="A19" t="str">
            <v>Ан Светлана Леонтьевна</v>
          </cell>
          <cell r="B19" t="str">
            <v>770974237106</v>
          </cell>
          <cell r="C19"/>
        </row>
        <row r="20">
          <cell r="A20" t="str">
            <v>Андреева Александра Владимировна</v>
          </cell>
          <cell r="B20" t="str">
            <v>213012121230</v>
          </cell>
          <cell r="C20"/>
        </row>
        <row r="21">
          <cell r="A21" t="str">
            <v>Андреева Анастасия Александровна</v>
          </cell>
          <cell r="B21" t="str">
            <v>667115622213</v>
          </cell>
          <cell r="C21"/>
        </row>
        <row r="22">
          <cell r="A22" t="str">
            <v>Андрюков Антон Артемович</v>
          </cell>
          <cell r="B22" t="str">
            <v>590320655060</v>
          </cell>
          <cell r="C22"/>
        </row>
        <row r="23">
          <cell r="A23" t="str">
            <v>Андрюшкина Дарья Евгеньевна</v>
          </cell>
          <cell r="B23" t="str">
            <v>614026571633</v>
          </cell>
          <cell r="C23"/>
        </row>
        <row r="24">
          <cell r="A24" t="str">
            <v>Анистархов Никита Арнольдович</v>
          </cell>
          <cell r="B24" t="str">
            <v>772643115679</v>
          </cell>
          <cell r="C24"/>
        </row>
        <row r="25">
          <cell r="A25" t="str">
            <v>Аноскина Екатерина Геннадьевна</v>
          </cell>
          <cell r="B25" t="str">
            <v>860204080540</v>
          </cell>
          <cell r="C25"/>
        </row>
        <row r="26">
          <cell r="A26" t="str">
            <v>Аносова Лада Александровна</v>
          </cell>
          <cell r="B26" t="str">
            <v>771612658232</v>
          </cell>
          <cell r="C26"/>
        </row>
        <row r="27">
          <cell r="A27" t="str">
            <v>Антонов Никита Евгеньевич</v>
          </cell>
          <cell r="B27" t="str">
            <v>463314123304</v>
          </cell>
          <cell r="C27"/>
        </row>
        <row r="28">
          <cell r="A28" t="str">
            <v>Арбузова Анастасия Владимировна</v>
          </cell>
          <cell r="B28" t="str">
            <v>632404287703</v>
          </cell>
          <cell r="C28"/>
        </row>
        <row r="29">
          <cell r="A29" t="str">
            <v>Арефьев Никита Александрович</v>
          </cell>
          <cell r="B29" t="str">
            <v>525621342940</v>
          </cell>
          <cell r="C29"/>
        </row>
        <row r="30">
          <cell r="A30" t="str">
            <v>Архипова Дарья Денисовна</v>
          </cell>
          <cell r="B30" t="str">
            <v>503128663018</v>
          </cell>
          <cell r="C30"/>
        </row>
        <row r="31">
          <cell r="A31" t="str">
            <v>Аршавский Руслан Рамильевич</v>
          </cell>
          <cell r="B31" t="str">
            <v>236502352876</v>
          </cell>
          <cell r="C31"/>
        </row>
        <row r="32">
          <cell r="A32" t="str">
            <v>Аршавский Рустам Рамильевич</v>
          </cell>
          <cell r="B32" t="str">
            <v>236502352940</v>
          </cell>
          <cell r="C32"/>
        </row>
        <row r="33">
          <cell r="A33" t="str">
            <v>Асадуллин Ринат Рустамович</v>
          </cell>
          <cell r="B33" t="str">
            <v>500173667812</v>
          </cell>
          <cell r="C33"/>
        </row>
        <row r="34">
          <cell r="A34" t="str">
            <v>Атрепьев Артем Николаевич</v>
          </cell>
          <cell r="B34" t="str">
            <v>771549851084</v>
          </cell>
          <cell r="C34"/>
        </row>
        <row r="35">
          <cell r="A35" t="str">
            <v>Афонин Владимир Владимирович</v>
          </cell>
          <cell r="B35" t="str">
            <v>402200619280</v>
          </cell>
          <cell r="C35"/>
        </row>
        <row r="36">
          <cell r="A36" t="str">
            <v>Афонская Ксения Михайловна</v>
          </cell>
          <cell r="B36" t="str">
            <v>772918323500</v>
          </cell>
          <cell r="C36"/>
        </row>
        <row r="37">
          <cell r="A37" t="str">
            <v>Ашпиз Евгений Самуилович</v>
          </cell>
          <cell r="B37" t="str">
            <v>771200521743</v>
          </cell>
          <cell r="C37"/>
        </row>
        <row r="38">
          <cell r="A38" t="str">
            <v>Ашпин Михаил Александрович</v>
          </cell>
          <cell r="B38" t="str">
            <v>183114854862</v>
          </cell>
          <cell r="C38"/>
        </row>
        <row r="39">
          <cell r="A39" t="str">
            <v>Аюпова Анна Константиновна</v>
          </cell>
          <cell r="B39" t="str">
            <v>590318063740</v>
          </cell>
          <cell r="C39"/>
        </row>
        <row r="40">
          <cell r="A40" t="str">
            <v>Бабанов Иван Александрович</v>
          </cell>
          <cell r="B40" t="str">
            <v>773418941475</v>
          </cell>
          <cell r="C40"/>
        </row>
        <row r="41">
          <cell r="A41" t="str">
            <v>Бабенков Павел Алексеевич</v>
          </cell>
          <cell r="B41" t="str">
            <v>164906291910</v>
          </cell>
          <cell r="C41"/>
        </row>
        <row r="42">
          <cell r="A42" t="str">
            <v>Бабичева Станислава Владимировна</v>
          </cell>
          <cell r="B42" t="str">
            <v>632310334098</v>
          </cell>
          <cell r="C42"/>
        </row>
        <row r="43">
          <cell r="A43" t="str">
            <v>Бакалягин Сергей Владимирович</v>
          </cell>
          <cell r="B43" t="str">
            <v>772157092286</v>
          </cell>
          <cell r="C43"/>
        </row>
        <row r="44">
          <cell r="A44" t="str">
            <v>Бакушин Александр Николаевич</v>
          </cell>
          <cell r="B44" t="str">
            <v>501214911158</v>
          </cell>
          <cell r="C44"/>
        </row>
        <row r="45">
          <cell r="A45" t="str">
            <v>Балан Дамиана Игоревна</v>
          </cell>
          <cell r="B45" t="str">
            <v>693901670923</v>
          </cell>
          <cell r="C45"/>
        </row>
        <row r="46">
          <cell r="A46" t="str">
            <v>Баландин Юрий Сергеевич</v>
          </cell>
          <cell r="B46" t="str">
            <v>774394468185</v>
          </cell>
          <cell r="C46"/>
        </row>
        <row r="47">
          <cell r="A47" t="str">
            <v>Балясникова Татьяна Валерьевна</v>
          </cell>
          <cell r="B47" t="str">
            <v>500104073582</v>
          </cell>
          <cell r="C47"/>
        </row>
        <row r="48">
          <cell r="A48" t="str">
            <v>Баракова Анастасия Борисовна</v>
          </cell>
          <cell r="B48" t="str">
            <v>382707060166</v>
          </cell>
          <cell r="C48"/>
        </row>
        <row r="49">
          <cell r="A49" t="str">
            <v>Баранов Глеб Романович</v>
          </cell>
          <cell r="B49" t="str">
            <v>772351448335</v>
          </cell>
          <cell r="C49"/>
        </row>
        <row r="50">
          <cell r="A50" t="str">
            <v>Барышков Арсений Максимович</v>
          </cell>
          <cell r="B50" t="str">
            <v>773397252224</v>
          </cell>
          <cell r="C50"/>
        </row>
        <row r="51">
          <cell r="A51" t="str">
            <v>Басанец Наталья Николаевна</v>
          </cell>
          <cell r="B51" t="str">
            <v>771574264298</v>
          </cell>
          <cell r="C51"/>
        </row>
        <row r="52">
          <cell r="A52" t="str">
            <v>Батарин Кирилл Евгеньевич</v>
          </cell>
          <cell r="B52" t="str">
            <v>504204564542</v>
          </cell>
          <cell r="C52"/>
        </row>
        <row r="53">
          <cell r="A53" t="str">
            <v>Башлай Валерий Александрович</v>
          </cell>
          <cell r="B53" t="str">
            <v>260204280060</v>
          </cell>
          <cell r="C53"/>
        </row>
        <row r="54">
          <cell r="A54" t="str">
            <v>Безрукавный Тимофей Алексеевич</v>
          </cell>
          <cell r="B54" t="str">
            <v>771412202925</v>
          </cell>
          <cell r="C54"/>
        </row>
        <row r="55">
          <cell r="A55" t="str">
            <v>Белкина Наталья Валерьевна</v>
          </cell>
          <cell r="B55" t="str">
            <v>772815412645</v>
          </cell>
          <cell r="C55"/>
        </row>
        <row r="56">
          <cell r="A56" t="str">
            <v>Белов Александр Владимирович</v>
          </cell>
          <cell r="B56" t="str">
            <v>781135219800</v>
          </cell>
          <cell r="C56"/>
        </row>
        <row r="57">
          <cell r="A57" t="str">
            <v>Белова Мария Сергеевна</v>
          </cell>
          <cell r="B57" t="str">
            <v>504017997521</v>
          </cell>
          <cell r="C57"/>
        </row>
        <row r="58">
          <cell r="A58" t="str">
            <v>Белокопытов Андрей Ильич</v>
          </cell>
          <cell r="B58" t="str">
            <v>410901334013</v>
          </cell>
          <cell r="C58"/>
        </row>
        <row r="59">
          <cell r="A59" t="str">
            <v>Белокопытов Артем Владимирович</v>
          </cell>
          <cell r="B59" t="str">
            <v>781641614081</v>
          </cell>
          <cell r="C59"/>
        </row>
        <row r="60">
          <cell r="A60" t="str">
            <v>Белоусов Иван Александрович</v>
          </cell>
          <cell r="B60" t="str">
            <v>503111653420</v>
          </cell>
          <cell r="C60"/>
        </row>
        <row r="61">
          <cell r="A61" t="str">
            <v>Беляков Алексей Валерьевич</v>
          </cell>
          <cell r="B61" t="str">
            <v>772581942066</v>
          </cell>
          <cell r="C61"/>
        </row>
        <row r="62">
          <cell r="A62" t="str">
            <v>Беляков Степан Юрьевич</v>
          </cell>
          <cell r="B62" t="str">
            <v>236500076902</v>
          </cell>
          <cell r="C62"/>
        </row>
        <row r="63">
          <cell r="A63" t="str">
            <v>Белякова Александра Алексеевна</v>
          </cell>
          <cell r="B63" t="str">
            <v>772606010646</v>
          </cell>
          <cell r="C63"/>
        </row>
        <row r="64">
          <cell r="A64" t="str">
            <v>Бережко Елена Валерьевна</v>
          </cell>
          <cell r="B64" t="str">
            <v>561106500430</v>
          </cell>
          <cell r="C64"/>
        </row>
        <row r="65">
          <cell r="A65" t="str">
            <v>Бережная Мария Андреевна</v>
          </cell>
          <cell r="B65" t="str">
            <v>744612432150</v>
          </cell>
          <cell r="C65"/>
        </row>
        <row r="66">
          <cell r="A66" t="str">
            <v>Бережная Мария Андреевна</v>
          </cell>
          <cell r="B66" t="str">
            <v>744612432150</v>
          </cell>
          <cell r="C66"/>
        </row>
        <row r="67">
          <cell r="A67" t="str">
            <v>Бетуганов Ратмир Станиславович</v>
          </cell>
          <cell r="B67" t="str">
            <v>504906120403</v>
          </cell>
          <cell r="C67"/>
        </row>
        <row r="68">
          <cell r="A68" t="str">
            <v>Биллаев Анзор Метлебович</v>
          </cell>
          <cell r="B68" t="str">
            <v>773389811743</v>
          </cell>
          <cell r="C68"/>
        </row>
        <row r="69">
          <cell r="A69" t="str">
            <v>Блинова Евгения Евгеньевна</v>
          </cell>
          <cell r="B69" t="str">
            <v>614199111783</v>
          </cell>
          <cell r="C69"/>
        </row>
        <row r="70">
          <cell r="A70" t="str">
            <v>Блинова Елена Владимировна</v>
          </cell>
          <cell r="B70" t="str">
            <v>772339522960</v>
          </cell>
          <cell r="C70"/>
        </row>
        <row r="71">
          <cell r="A71" t="str">
            <v>Блинова Светлана Александровна</v>
          </cell>
          <cell r="B71" t="str">
            <v>772326440808</v>
          </cell>
          <cell r="C71"/>
        </row>
        <row r="72">
          <cell r="A72" t="str">
            <v>Блохин Фёдор Михайлович</v>
          </cell>
          <cell r="B72" t="str">
            <v>511702081764</v>
          </cell>
          <cell r="C72"/>
        </row>
        <row r="73">
          <cell r="A73" t="str">
            <v>Богданова Екатерина Владимировна</v>
          </cell>
          <cell r="B73" t="str">
            <v>571900930129</v>
          </cell>
          <cell r="C73"/>
        </row>
        <row r="74">
          <cell r="A74" t="str">
            <v>Богомягкова Екатерина Эдуардовна</v>
          </cell>
          <cell r="B74" t="str">
            <v>753621827008</v>
          </cell>
          <cell r="C74"/>
        </row>
        <row r="75">
          <cell r="A75" t="str">
            <v>Боканхель Артем Игоревич</v>
          </cell>
          <cell r="B75" t="str">
            <v>770908147072</v>
          </cell>
          <cell r="C75"/>
        </row>
        <row r="76">
          <cell r="A76" t="str">
            <v>Бокша Павел Сергеевич</v>
          </cell>
          <cell r="B76" t="str">
            <v>772166367410</v>
          </cell>
          <cell r="C76"/>
        </row>
        <row r="77">
          <cell r="A77" t="str">
            <v>Болдырь Валерия Витальевна</v>
          </cell>
          <cell r="B77" t="str">
            <v>501817873008</v>
          </cell>
          <cell r="C77"/>
        </row>
        <row r="78">
          <cell r="A78" t="str">
            <v>Болотина Татьяна Александровна</v>
          </cell>
          <cell r="B78" t="str">
            <v>560306671223</v>
          </cell>
          <cell r="C78"/>
        </row>
        <row r="79">
          <cell r="A79" t="str">
            <v>Болотов Николай Сергеевич</v>
          </cell>
          <cell r="B79" t="str">
            <v>772883452445</v>
          </cell>
          <cell r="C79"/>
        </row>
        <row r="80">
          <cell r="A80" t="str">
            <v>Больдясов Алексей Ильич</v>
          </cell>
          <cell r="B80" t="str">
            <v>524926672003</v>
          </cell>
          <cell r="C80"/>
        </row>
        <row r="81">
          <cell r="A81" t="str">
            <v>Большова Наталья Александровна</v>
          </cell>
          <cell r="B81" t="str">
            <v>504229185602</v>
          </cell>
          <cell r="C81"/>
        </row>
        <row r="82">
          <cell r="A82" t="str">
            <v>Бондаренко Вероника Александровна</v>
          </cell>
          <cell r="B82" t="str">
            <v>571503301477</v>
          </cell>
          <cell r="C82"/>
        </row>
        <row r="83">
          <cell r="A83" t="str">
            <v>Борисов Максим Александрович</v>
          </cell>
          <cell r="B83" t="str">
            <v>773370765405</v>
          </cell>
          <cell r="C83"/>
        </row>
        <row r="84">
          <cell r="A84" t="str">
            <v>Борисов Максим Игоревич</v>
          </cell>
          <cell r="B84" t="str">
            <v>772072925010</v>
          </cell>
          <cell r="C84"/>
        </row>
        <row r="85">
          <cell r="A85" t="str">
            <v>Боровых Станислав Николаевич</v>
          </cell>
          <cell r="B85" t="str">
            <v>580317436513</v>
          </cell>
          <cell r="C85"/>
        </row>
        <row r="86">
          <cell r="A86" t="str">
            <v>Бородинова Валерия Владимировна</v>
          </cell>
          <cell r="B86" t="str">
            <v>230816133602</v>
          </cell>
          <cell r="C86"/>
        </row>
        <row r="87">
          <cell r="A87" t="str">
            <v>Бородулин Григорий Игоревич</v>
          </cell>
          <cell r="B87" t="str">
            <v>771386408042</v>
          </cell>
          <cell r="C87"/>
        </row>
        <row r="88">
          <cell r="A88" t="str">
            <v>Брыкина Анастасия Владимировна</v>
          </cell>
          <cell r="B88" t="str">
            <v>165056657020</v>
          </cell>
          <cell r="C88"/>
        </row>
        <row r="89">
          <cell r="A89" t="str">
            <v>Бугакина Татьяна Викторовна</v>
          </cell>
          <cell r="B89" t="str">
            <v>781715024403</v>
          </cell>
          <cell r="C89"/>
        </row>
        <row r="90">
          <cell r="A90" t="str">
            <v>Буданов Виктор Игоревич</v>
          </cell>
          <cell r="B90" t="str">
            <v>773323137989</v>
          </cell>
          <cell r="C90"/>
        </row>
        <row r="91">
          <cell r="A91" t="str">
            <v>Бужинская Елена Николаевна</v>
          </cell>
          <cell r="B91" t="str">
            <v>770373537546</v>
          </cell>
          <cell r="C91"/>
        </row>
        <row r="92">
          <cell r="A92" t="str">
            <v>Бузин Сергей Викторович</v>
          </cell>
          <cell r="B92" t="str">
            <v>481100896112</v>
          </cell>
          <cell r="C92"/>
        </row>
        <row r="93">
          <cell r="A93" t="str">
            <v>Бузорин Андрей Владимирович</v>
          </cell>
          <cell r="B93" t="str">
            <v>025607557845</v>
          </cell>
          <cell r="C93"/>
        </row>
        <row r="94">
          <cell r="A94" t="str">
            <v>Бурацкий Руслан Алексеевич</v>
          </cell>
          <cell r="B94" t="str">
            <v>644202296889</v>
          </cell>
          <cell r="C94"/>
        </row>
        <row r="95">
          <cell r="A95" t="str">
            <v>Буров Серафим Юрьевич</v>
          </cell>
          <cell r="B95" t="str">
            <v>503822825003</v>
          </cell>
          <cell r="C95"/>
        </row>
        <row r="96">
          <cell r="A96" t="str">
            <v>Бурцева Светлана Анатольевна</v>
          </cell>
          <cell r="B96" t="str">
            <v>580204649609</v>
          </cell>
          <cell r="C96"/>
        </row>
        <row r="97">
          <cell r="A97" t="str">
            <v>Бурчинова Екатерина Юрьевна</v>
          </cell>
          <cell r="B97" t="str">
            <v>614316766754</v>
          </cell>
          <cell r="C97"/>
        </row>
        <row r="98">
          <cell r="A98" t="str">
            <v>Буслаев Евгений Александрович</v>
          </cell>
          <cell r="B98" t="str">
            <v>505019257073</v>
          </cell>
          <cell r="C98"/>
        </row>
        <row r="99">
          <cell r="A99" t="str">
            <v>Бучин Дмитрий Юрьевич</v>
          </cell>
          <cell r="B99" t="str">
            <v>772372777972</v>
          </cell>
          <cell r="C99"/>
        </row>
        <row r="100">
          <cell r="A100" t="str">
            <v>Бычков Егор Сергеевич</v>
          </cell>
          <cell r="B100" t="str">
            <v>771549455789</v>
          </cell>
          <cell r="C100"/>
        </row>
        <row r="101">
          <cell r="A101" t="str">
            <v>Вабищевич Александр Эдуардович</v>
          </cell>
          <cell r="B101" t="str">
            <v>503233151379</v>
          </cell>
          <cell r="C101"/>
        </row>
        <row r="102">
          <cell r="A102" t="str">
            <v>Вайсбург Данила Владимирович</v>
          </cell>
          <cell r="B102" t="str">
            <v>620603240805</v>
          </cell>
          <cell r="C102"/>
        </row>
        <row r="103">
          <cell r="A103" t="str">
            <v>Валамат-Заде Сабина Джамшедовна</v>
          </cell>
          <cell r="B103" t="str">
            <v>772584560033</v>
          </cell>
          <cell r="C103"/>
        </row>
        <row r="104">
          <cell r="A104" t="str">
            <v>Валяев Илья Витальевич</v>
          </cell>
          <cell r="B104" t="str">
            <v>771577175624</v>
          </cell>
          <cell r="C104"/>
        </row>
        <row r="105">
          <cell r="A105" t="str">
            <v>Варламов Глеб Николаевич</v>
          </cell>
          <cell r="B105" t="str">
            <v>774335705204</v>
          </cell>
          <cell r="C105"/>
        </row>
        <row r="106">
          <cell r="A106" t="str">
            <v>Вартанян Артем Арамаисович</v>
          </cell>
          <cell r="B106" t="str">
            <v>231907143127</v>
          </cell>
          <cell r="C106"/>
        </row>
        <row r="107">
          <cell r="A107" t="str">
            <v>Василенко Дарья Михайловна</v>
          </cell>
          <cell r="B107" t="str">
            <v>667906735700</v>
          </cell>
          <cell r="C107"/>
        </row>
        <row r="108">
          <cell r="A108" t="str">
            <v>Васильев Роман Владимирович</v>
          </cell>
          <cell r="B108" t="str">
            <v>691700227500</v>
          </cell>
          <cell r="C108"/>
        </row>
        <row r="109">
          <cell r="A109" t="str">
            <v>Васин Николай Николаевич</v>
          </cell>
          <cell r="B109" t="str">
            <v>623202800773</v>
          </cell>
          <cell r="C109"/>
        </row>
        <row r="110">
          <cell r="A110" t="str">
            <v>Введенская Татьяна Борисовна</v>
          </cell>
          <cell r="B110" t="str">
            <v>772907316638</v>
          </cell>
          <cell r="C110"/>
        </row>
        <row r="111">
          <cell r="A111" t="str">
            <v>Вдовина Ирина Алексеевна</v>
          </cell>
          <cell r="B111" t="str">
            <v>502723791545</v>
          </cell>
          <cell r="C111"/>
        </row>
        <row r="112">
          <cell r="A112" t="str">
            <v>Веденина Юлия Дмитриевна</v>
          </cell>
          <cell r="B112" t="str">
            <v>773582986325</v>
          </cell>
          <cell r="C112"/>
        </row>
        <row r="113">
          <cell r="A113" t="str">
            <v>Вейн Кристина Владимировна</v>
          </cell>
          <cell r="B113" t="str">
            <v>771386977761</v>
          </cell>
          <cell r="C113"/>
        </row>
        <row r="114">
          <cell r="A114" t="str">
            <v>Велицкий Дмитрий Александрович</v>
          </cell>
          <cell r="B114" t="str">
            <v>502909453171</v>
          </cell>
          <cell r="C114"/>
        </row>
        <row r="115">
          <cell r="A115" t="str">
            <v>Веременко Кирилл Александрович</v>
          </cell>
          <cell r="B115" t="str">
            <v>770770850755</v>
          </cell>
          <cell r="C115"/>
        </row>
        <row r="116">
          <cell r="A116" t="str">
            <v>Викторова Мария Вильевна</v>
          </cell>
          <cell r="B116" t="str">
            <v>482510582390</v>
          </cell>
          <cell r="C116"/>
        </row>
        <row r="117">
          <cell r="A117" t="str">
            <v>Вихров Кирилл Александрович</v>
          </cell>
          <cell r="B117" t="str">
            <v>774362036707</v>
          </cell>
          <cell r="C117"/>
        </row>
        <row r="118">
          <cell r="A118" t="str">
            <v>Владыкина Кристина Александровна</v>
          </cell>
          <cell r="B118" t="str">
            <v>645117695789</v>
          </cell>
          <cell r="C118"/>
        </row>
        <row r="119">
          <cell r="A119" t="str">
            <v>Власов Александр Сергеевич</v>
          </cell>
          <cell r="B119" t="str">
            <v>772997385827</v>
          </cell>
          <cell r="C119"/>
        </row>
        <row r="120">
          <cell r="A120" t="str">
            <v>Власова Анна Андреевна</v>
          </cell>
          <cell r="B120" t="str">
            <v>772605342984</v>
          </cell>
          <cell r="C120"/>
        </row>
        <row r="121">
          <cell r="A121" t="str">
            <v>Воевода Дмитрий Олегович</v>
          </cell>
          <cell r="B121" t="str">
            <v>502908869755</v>
          </cell>
          <cell r="C121"/>
        </row>
        <row r="122">
          <cell r="A122" t="str">
            <v>Войнов Алексей Владимирович</v>
          </cell>
          <cell r="B122" t="str">
            <v>771877401105</v>
          </cell>
          <cell r="C122"/>
        </row>
        <row r="123">
          <cell r="A123" t="str">
            <v>Войнов Алексей Владимирович</v>
          </cell>
          <cell r="B123" t="str">
            <v>771877401105</v>
          </cell>
          <cell r="C123"/>
        </row>
        <row r="124">
          <cell r="A124" t="str">
            <v>Волянский Герман Витальевич</v>
          </cell>
          <cell r="B124" t="str">
            <v>781147756817</v>
          </cell>
          <cell r="C124"/>
        </row>
        <row r="125">
          <cell r="A125" t="str">
            <v>Вороневская Анна Алексеевна</v>
          </cell>
          <cell r="B125" t="str">
            <v>502907455582</v>
          </cell>
          <cell r="C125"/>
        </row>
        <row r="126">
          <cell r="A126" t="str">
            <v>Воронова Оксана Юрьевна</v>
          </cell>
          <cell r="B126" t="str">
            <v>245208208671</v>
          </cell>
          <cell r="C126"/>
        </row>
        <row r="127">
          <cell r="A127" t="str">
            <v>Воротников Максим Александрович</v>
          </cell>
          <cell r="B127" t="str">
            <v>772778741977</v>
          </cell>
          <cell r="C127"/>
        </row>
        <row r="128">
          <cell r="A128" t="str">
            <v>Вострикова Екатерина Александровна</v>
          </cell>
          <cell r="B128" t="str">
            <v>771549709514</v>
          </cell>
          <cell r="C128"/>
        </row>
        <row r="129">
          <cell r="A129" t="str">
            <v>Габдрахманов Руслан Фларитович</v>
          </cell>
          <cell r="B129" t="str">
            <v>861710601858</v>
          </cell>
          <cell r="C129"/>
        </row>
        <row r="130">
          <cell r="A130" t="str">
            <v>Газарян Евгений Григорьевич</v>
          </cell>
          <cell r="B130" t="str">
            <v>770506842654</v>
          </cell>
          <cell r="C130"/>
        </row>
        <row r="131">
          <cell r="A131" t="str">
            <v>Галяткин Дмитрий Васильевич</v>
          </cell>
          <cell r="B131" t="str">
            <v>772033456710</v>
          </cell>
          <cell r="C131"/>
        </row>
        <row r="132">
          <cell r="A132" t="str">
            <v>Гамзаев Эмин Мусеибович</v>
          </cell>
          <cell r="B132" t="str">
            <v>771548822154</v>
          </cell>
          <cell r="C132"/>
        </row>
        <row r="133">
          <cell r="A133" t="str">
            <v>Ганичев Александр Андреевич</v>
          </cell>
          <cell r="B133" t="str">
            <v>071511782925</v>
          </cell>
          <cell r="C133"/>
        </row>
        <row r="134">
          <cell r="A134" t="str">
            <v>Гарбузов Никита Александрович</v>
          </cell>
          <cell r="B134" t="str">
            <v>237000619528</v>
          </cell>
          <cell r="C134"/>
        </row>
        <row r="135">
          <cell r="A135" t="str">
            <v>Гаршина Лариса Александровна</v>
          </cell>
          <cell r="B135" t="str">
            <v>771818477247</v>
          </cell>
          <cell r="C135"/>
        </row>
        <row r="136">
          <cell r="A136" t="str">
            <v>Гегамян Нвард Акоповна</v>
          </cell>
          <cell r="B136" t="str">
            <v>640203111445</v>
          </cell>
          <cell r="C136"/>
        </row>
        <row r="137">
          <cell r="A137" t="str">
            <v>Герасимов Егор Денисович</v>
          </cell>
          <cell r="B137" t="str">
            <v>772826280133</v>
          </cell>
          <cell r="C137"/>
        </row>
        <row r="138">
          <cell r="A138" t="str">
            <v>Германов Михаил Валентинович</v>
          </cell>
          <cell r="B138" t="str">
            <v>213006491433</v>
          </cell>
          <cell r="C138"/>
        </row>
        <row r="139">
          <cell r="A139" t="str">
            <v>Гиль Татьяна Александровна</v>
          </cell>
          <cell r="B139" t="str">
            <v>772473499626</v>
          </cell>
          <cell r="C139"/>
        </row>
        <row r="140">
          <cell r="A140" t="str">
            <v>Гильдина Мария Сергеевна</v>
          </cell>
          <cell r="B140" t="str">
            <v>744300802409</v>
          </cell>
          <cell r="C140"/>
        </row>
        <row r="141">
          <cell r="A141" t="str">
            <v>Гиндия Экатерина Тенгизовна</v>
          </cell>
          <cell r="B141" t="str">
            <v>773718329418</v>
          </cell>
          <cell r="C141"/>
        </row>
        <row r="142">
          <cell r="A142" t="str">
            <v>Гласнер Наталья Павловна</v>
          </cell>
          <cell r="B142" t="str">
            <v>771609521189</v>
          </cell>
          <cell r="C142"/>
        </row>
        <row r="143">
          <cell r="A143" t="str">
            <v>Глушанков Сергей Васильевич</v>
          </cell>
          <cell r="B143" t="str">
            <v>616511993610</v>
          </cell>
          <cell r="C143"/>
        </row>
        <row r="144">
          <cell r="A144" t="str">
            <v>Годов Андрей Андреевич</v>
          </cell>
          <cell r="B144" t="str">
            <v>771375769488</v>
          </cell>
          <cell r="C144"/>
        </row>
        <row r="145">
          <cell r="A145" t="str">
            <v>Головач Станислав Сергеевич</v>
          </cell>
          <cell r="B145" t="str">
            <v>770474333676</v>
          </cell>
          <cell r="C145"/>
        </row>
        <row r="146">
          <cell r="A146" t="str">
            <v>Головачев Алексей Владимирович</v>
          </cell>
          <cell r="B146" t="str">
            <v>504701204035</v>
          </cell>
          <cell r="C146"/>
        </row>
        <row r="147">
          <cell r="A147" t="str">
            <v>Головенкина Мария Александровна</v>
          </cell>
          <cell r="B147" t="str">
            <v>772611178362</v>
          </cell>
          <cell r="C147"/>
        </row>
        <row r="148">
          <cell r="A148" t="str">
            <v>Головченко Ольга Васильевна</v>
          </cell>
          <cell r="B148" t="str">
            <v>773771165035</v>
          </cell>
          <cell r="C148"/>
        </row>
        <row r="149">
          <cell r="A149" t="str">
            <v>Голубева Дарья Николаевна</v>
          </cell>
          <cell r="B149" t="str">
            <v>771708242676</v>
          </cell>
          <cell r="C149"/>
        </row>
        <row r="150">
          <cell r="A150" t="str">
            <v>Голубкова Екатерина Валерьевна</v>
          </cell>
          <cell r="B150" t="str">
            <v>691007870802</v>
          </cell>
          <cell r="C150"/>
        </row>
        <row r="151">
          <cell r="A151" t="str">
            <v>Голубкова Маргарита Владимировна</v>
          </cell>
          <cell r="B151" t="str">
            <v>772873683901</v>
          </cell>
          <cell r="C151"/>
        </row>
        <row r="152">
          <cell r="A152" t="str">
            <v>Гольденберг Леонид Маркович</v>
          </cell>
          <cell r="B152" t="str">
            <v>773212824672</v>
          </cell>
          <cell r="C152"/>
        </row>
        <row r="153">
          <cell r="A153" t="str">
            <v>Гончарова Екатерина Вадимовна</v>
          </cell>
          <cell r="B153" t="str">
            <v>645200910953</v>
          </cell>
          <cell r="C153"/>
        </row>
        <row r="154">
          <cell r="A154" t="str">
            <v>Горяева Екатерина Дмитриевна</v>
          </cell>
          <cell r="B154" t="str">
            <v>772408146998</v>
          </cell>
          <cell r="C154"/>
        </row>
        <row r="155">
          <cell r="A155" t="str">
            <v>Гребенникова Екатерина Геннадьевна</v>
          </cell>
          <cell r="B155" t="str">
            <v>362706877227</v>
          </cell>
          <cell r="C155"/>
        </row>
        <row r="156">
          <cell r="A156" t="str">
            <v>Григорян Артем Вазгенович</v>
          </cell>
          <cell r="B156" t="str">
            <v>770507962337</v>
          </cell>
          <cell r="C156"/>
        </row>
        <row r="157">
          <cell r="A157" t="str">
            <v>Грицай Виктор Викторович</v>
          </cell>
          <cell r="B157" t="str">
            <v>560701865452</v>
          </cell>
          <cell r="C157"/>
        </row>
        <row r="158">
          <cell r="A158" t="str">
            <v>Гришин Виктор Иванович</v>
          </cell>
          <cell r="B158" t="str">
            <v>132602466323</v>
          </cell>
          <cell r="C158"/>
        </row>
        <row r="159">
          <cell r="A159" t="str">
            <v>Гришина Ольга Алексеевна</v>
          </cell>
          <cell r="B159" t="str">
            <v>502708791692</v>
          </cell>
          <cell r="C159"/>
        </row>
        <row r="160">
          <cell r="A160" t="str">
            <v>Гузень Надежда Андреевна</v>
          </cell>
          <cell r="B160" t="str">
            <v>772072547537</v>
          </cell>
          <cell r="C160"/>
        </row>
        <row r="161">
          <cell r="A161" t="str">
            <v>Гукова Анжелика Арсеновна</v>
          </cell>
          <cell r="B161" t="str">
            <v>434522238394</v>
          </cell>
          <cell r="C161"/>
        </row>
        <row r="162">
          <cell r="A162" t="str">
            <v>Гуленков Вадим Алексеевич</v>
          </cell>
          <cell r="B162" t="str">
            <v>772019771460</v>
          </cell>
          <cell r="C162"/>
        </row>
        <row r="163">
          <cell r="A163" t="str">
            <v>Гурова Наталья Николаевна</v>
          </cell>
          <cell r="B163" t="str">
            <v>503200750144</v>
          </cell>
          <cell r="C163"/>
        </row>
        <row r="164">
          <cell r="A164" t="str">
            <v>Гутников Павел Юрьевич</v>
          </cell>
          <cell r="B164" t="str">
            <v>324106509903</v>
          </cell>
          <cell r="C164"/>
        </row>
        <row r="165">
          <cell r="A165" t="str">
            <v>Гучева Анастасия Владиславовна</v>
          </cell>
          <cell r="B165" t="str">
            <v>402812807265</v>
          </cell>
          <cell r="C165"/>
        </row>
        <row r="166">
          <cell r="A166" t="str">
            <v>Гущин Егор Андреевич</v>
          </cell>
          <cell r="B166" t="str">
            <v>971300634425</v>
          </cell>
          <cell r="C166"/>
        </row>
        <row r="167">
          <cell r="A167" t="str">
            <v>Давыдова Лилия Львовна</v>
          </cell>
          <cell r="B167" t="str">
            <v>774306661746</v>
          </cell>
          <cell r="C167"/>
        </row>
        <row r="168">
          <cell r="A168" t="str">
            <v>Дайменская Анна Владимировна</v>
          </cell>
          <cell r="B168" t="str">
            <v>504214088236</v>
          </cell>
          <cell r="C168"/>
        </row>
        <row r="169">
          <cell r="A169" t="str">
            <v>Данилин Ростислав Александрович</v>
          </cell>
          <cell r="B169" t="str">
            <v>772175386666</v>
          </cell>
          <cell r="C169"/>
        </row>
        <row r="170">
          <cell r="A170" t="str">
            <v>Данилов Роман Игоревич</v>
          </cell>
          <cell r="B170" t="str">
            <v>166010900450</v>
          </cell>
          <cell r="C170"/>
        </row>
        <row r="171">
          <cell r="A171" t="str">
            <v>Данилова Анна Олеговна</v>
          </cell>
          <cell r="B171" t="str">
            <v>352835640741</v>
          </cell>
          <cell r="C171"/>
        </row>
        <row r="172">
          <cell r="A172" t="str">
            <v>Дергачев Павел Валерьевич</v>
          </cell>
          <cell r="B172" t="str">
            <v>773670448502</v>
          </cell>
          <cell r="C172"/>
        </row>
        <row r="173">
          <cell r="A173" t="str">
            <v>Дескович Дарья Владимировна</v>
          </cell>
          <cell r="B173" t="str">
            <v>263014280727</v>
          </cell>
          <cell r="C173"/>
        </row>
        <row r="174">
          <cell r="A174" t="str">
            <v>Джафаров Эдуард Эльчинович</v>
          </cell>
          <cell r="B174" t="str">
            <v>772084185497</v>
          </cell>
          <cell r="C174"/>
        </row>
        <row r="175">
          <cell r="A175" t="str">
            <v>Дзимистарашвили Борис Александрович</v>
          </cell>
          <cell r="B175" t="str">
            <v>771402815746</v>
          </cell>
          <cell r="C175"/>
        </row>
        <row r="176">
          <cell r="A176" t="str">
            <v>Диденко Дмитрий Сергеевич</v>
          </cell>
          <cell r="B176" t="str">
            <v>231124258425</v>
          </cell>
          <cell r="C176"/>
        </row>
        <row r="177">
          <cell r="A177" t="str">
            <v>Дмитриев Алексей Валериевич</v>
          </cell>
          <cell r="B177" t="str">
            <v>771816487828</v>
          </cell>
          <cell r="C177"/>
        </row>
        <row r="178">
          <cell r="A178" t="str">
            <v>Дмитриева Ирина Алексеевна</v>
          </cell>
          <cell r="B178" t="str">
            <v>540819282981</v>
          </cell>
          <cell r="C178"/>
        </row>
        <row r="179">
          <cell r="A179" t="str">
            <v>Доманов Денис Вячеславович</v>
          </cell>
          <cell r="B179" t="str">
            <v>500121456698</v>
          </cell>
          <cell r="C179"/>
        </row>
        <row r="180">
          <cell r="A180" t="str">
            <v>Дрожжин Валерий Юрьевич</v>
          </cell>
          <cell r="B180" t="str">
            <v>772570406698</v>
          </cell>
          <cell r="C180"/>
        </row>
        <row r="181">
          <cell r="A181" t="str">
            <v>Дроздов Никита Самирович</v>
          </cell>
          <cell r="B181" t="str">
            <v>773180536044</v>
          </cell>
          <cell r="C181"/>
        </row>
        <row r="182">
          <cell r="A182" t="str">
            <v>Дронов Антон Павлович</v>
          </cell>
          <cell r="B182" t="str">
            <v>772023693736</v>
          </cell>
          <cell r="C182"/>
        </row>
        <row r="183">
          <cell r="A183" t="str">
            <v>Дружинин Антон Сергеевич</v>
          </cell>
          <cell r="B183" t="str">
            <v>507506635795</v>
          </cell>
          <cell r="C183"/>
        </row>
        <row r="184">
          <cell r="A184" t="str">
            <v>Дубинин Евгений Вячеславович</v>
          </cell>
          <cell r="B184" t="str">
            <v>772379191552</v>
          </cell>
          <cell r="C184"/>
        </row>
        <row r="185">
          <cell r="A185" t="str">
            <v>Дубровкина Мария Александровна</v>
          </cell>
          <cell r="B185" t="str">
            <v>523401002487</v>
          </cell>
          <cell r="C185"/>
        </row>
        <row r="186">
          <cell r="A186" t="str">
            <v>Дудко Дмитрий Владимирович</v>
          </cell>
          <cell r="B186" t="str">
            <v>550516636317</v>
          </cell>
          <cell r="C186"/>
        </row>
        <row r="187">
          <cell r="A187" t="str">
            <v>Дудник Оксана Родионовна</v>
          </cell>
          <cell r="B187" t="str">
            <v>771817860062</v>
          </cell>
          <cell r="C187"/>
        </row>
        <row r="188">
          <cell r="A188" t="str">
            <v>Дулинева Светлана Сергеевна</v>
          </cell>
          <cell r="B188" t="str">
            <v>504711886122</v>
          </cell>
          <cell r="C188"/>
        </row>
        <row r="189">
          <cell r="A189" t="str">
            <v>Думчева Мария Николаевна</v>
          </cell>
          <cell r="B189" t="str">
            <v>504220123665</v>
          </cell>
          <cell r="C189"/>
        </row>
        <row r="190">
          <cell r="A190" t="str">
            <v>Дьяченко Дмитрий Александрович</v>
          </cell>
          <cell r="B190" t="str">
            <v>911009578430</v>
          </cell>
          <cell r="C190"/>
        </row>
        <row r="191">
          <cell r="A191" t="str">
            <v>Евстигнеева Анастасия Викторовна</v>
          </cell>
          <cell r="B191" t="str">
            <v>300512194244</v>
          </cell>
          <cell r="C191"/>
        </row>
        <row r="192">
          <cell r="A192" t="str">
            <v>Евстигнеева Полина Руслановна</v>
          </cell>
          <cell r="B192" t="str">
            <v>026304176151</v>
          </cell>
          <cell r="C192"/>
        </row>
        <row r="193">
          <cell r="A193" t="str">
            <v>Егоров Алексей Николаевич</v>
          </cell>
          <cell r="B193" t="str">
            <v>504309234044</v>
          </cell>
          <cell r="C193"/>
        </row>
        <row r="194">
          <cell r="A194" t="str">
            <v>Егорова Мария Антоновна</v>
          </cell>
          <cell r="B194" t="str">
            <v>505309086006</v>
          </cell>
          <cell r="C194"/>
        </row>
        <row r="195">
          <cell r="A195" t="str">
            <v>Ельчина Екатерина Николаевна</v>
          </cell>
          <cell r="B195" t="str">
            <v>550709495302</v>
          </cell>
          <cell r="C195"/>
        </row>
        <row r="196">
          <cell r="A196" t="str">
            <v>Еремеев Алексей Александрович</v>
          </cell>
          <cell r="B196" t="str">
            <v>590849475943</v>
          </cell>
          <cell r="C196"/>
        </row>
        <row r="197">
          <cell r="A197" t="str">
            <v>Ерофеев Павел Викторович</v>
          </cell>
          <cell r="B197" t="str">
            <v>773177080308</v>
          </cell>
          <cell r="C197"/>
        </row>
        <row r="198">
          <cell r="A198" t="str">
            <v>Ерхов Владислав Витальевич</v>
          </cell>
          <cell r="B198" t="str">
            <v>501807856074</v>
          </cell>
          <cell r="C198"/>
        </row>
        <row r="199">
          <cell r="A199" t="str">
            <v>Есаков Никита Сергеевич</v>
          </cell>
          <cell r="B199" t="str">
            <v>507306282302</v>
          </cell>
          <cell r="C199"/>
        </row>
        <row r="200">
          <cell r="A200" t="str">
            <v>Ефремова Ксения Сергеевна</v>
          </cell>
          <cell r="B200" t="str">
            <v>504816433240</v>
          </cell>
          <cell r="C200"/>
        </row>
        <row r="201">
          <cell r="A201" t="str">
            <v>Жбакова Наталья Петровна</v>
          </cell>
          <cell r="B201" t="str">
            <v>502714973884</v>
          </cell>
          <cell r="C201"/>
        </row>
        <row r="202">
          <cell r="A202" t="str">
            <v>Жданов Никита Сергеевич</v>
          </cell>
          <cell r="B202" t="str">
            <v>570206324046</v>
          </cell>
          <cell r="C202"/>
        </row>
        <row r="203">
          <cell r="A203" t="str">
            <v>Жебрикова Наталья Владимировна</v>
          </cell>
          <cell r="B203" t="str">
            <v>671101096044</v>
          </cell>
          <cell r="C203"/>
        </row>
        <row r="204">
          <cell r="A204" t="str">
            <v>Жевлакович Мария Владимировна</v>
          </cell>
          <cell r="B204" t="str">
            <v>772487981501</v>
          </cell>
          <cell r="C204"/>
        </row>
        <row r="205">
          <cell r="A205" t="str">
            <v>Живчиков Дмитрий Сергеевич</v>
          </cell>
          <cell r="B205" t="str">
            <v>213004790501</v>
          </cell>
          <cell r="C205"/>
        </row>
        <row r="206">
          <cell r="A206" t="str">
            <v>Жидкова Юлия Сергеевна</v>
          </cell>
          <cell r="B206" t="str">
            <v>583715185261</v>
          </cell>
          <cell r="C206"/>
        </row>
        <row r="207">
          <cell r="A207" t="str">
            <v>Жлуктова Варвара Варя Сергеевна</v>
          </cell>
          <cell r="B207" t="str">
            <v>772092924409</v>
          </cell>
          <cell r="C207"/>
        </row>
        <row r="208">
          <cell r="A208" t="str">
            <v>Жуков Андрей Максимович</v>
          </cell>
          <cell r="B208" t="str">
            <v>772379027545</v>
          </cell>
          <cell r="C208"/>
        </row>
        <row r="209">
          <cell r="A209" t="str">
            <v>Жукова Ольга Васильевна</v>
          </cell>
          <cell r="B209" t="str">
            <v>774308464415</v>
          </cell>
          <cell r="C209"/>
        </row>
        <row r="210">
          <cell r="A210" t="str">
            <v>Журавлева Елена Николаевна</v>
          </cell>
          <cell r="B210" t="str">
            <v>772435558207</v>
          </cell>
          <cell r="C210"/>
        </row>
        <row r="211">
          <cell r="A211" t="str">
            <v>Журавский Юрий Ростиславович</v>
          </cell>
          <cell r="B211" t="str">
            <v>771585024403</v>
          </cell>
          <cell r="C211"/>
        </row>
        <row r="212">
          <cell r="A212" t="str">
            <v>Журбинский Роман Игоревич</v>
          </cell>
          <cell r="B212" t="str">
            <v>773169500848</v>
          </cell>
          <cell r="C212"/>
        </row>
        <row r="213">
          <cell r="A213" t="str">
            <v>Забловская Ольга Николаевна</v>
          </cell>
          <cell r="B213" t="str">
            <v>230602881343</v>
          </cell>
          <cell r="C213"/>
        </row>
        <row r="214">
          <cell r="A214" t="str">
            <v>Заболотний Владимир Константинович</v>
          </cell>
          <cell r="B214" t="str">
            <v>110110730305</v>
          </cell>
          <cell r="C214"/>
        </row>
        <row r="215">
          <cell r="A215" t="str">
            <v>Заботкина Яна Эдуардовна</v>
          </cell>
          <cell r="B215" t="str">
            <v>771319733537</v>
          </cell>
          <cell r="C215"/>
        </row>
        <row r="216">
          <cell r="A216" t="str">
            <v>Загуменная Алла Александровна</v>
          </cell>
          <cell r="B216" t="str">
            <v>531001636555</v>
          </cell>
          <cell r="C216"/>
        </row>
        <row r="217">
          <cell r="A217" t="str">
            <v>Задачина Елизавета Николаевна</v>
          </cell>
          <cell r="B217" t="str">
            <v>920159749062</v>
          </cell>
          <cell r="C217"/>
        </row>
        <row r="218">
          <cell r="A218" t="str">
            <v>Задорожный Александр Сергеевич</v>
          </cell>
          <cell r="B218" t="str">
            <v>772917339916</v>
          </cell>
          <cell r="C218"/>
        </row>
        <row r="219">
          <cell r="A219" t="str">
            <v>Зазыкина Анастасия Владимировна</v>
          </cell>
          <cell r="B219" t="str">
            <v>482413810179</v>
          </cell>
          <cell r="C219"/>
        </row>
        <row r="220">
          <cell r="A220" t="str">
            <v>Заиграйкин Иван Романович</v>
          </cell>
          <cell r="B220" t="str">
            <v>503513814068</v>
          </cell>
          <cell r="C220"/>
        </row>
        <row r="221">
          <cell r="A221" t="str">
            <v>Зайкин Дмитрий Владимирович</v>
          </cell>
          <cell r="B221" t="str">
            <v>132812000754</v>
          </cell>
          <cell r="C221"/>
        </row>
        <row r="222">
          <cell r="A222" t="str">
            <v>Замаренова Анастасия Николаевна</v>
          </cell>
          <cell r="B222" t="str">
            <v>773382295747</v>
          </cell>
          <cell r="C222"/>
        </row>
        <row r="223">
          <cell r="A223" t="str">
            <v>Замолотов Александр Олегович</v>
          </cell>
          <cell r="B223" t="str">
            <v>701739156006</v>
          </cell>
          <cell r="C223"/>
        </row>
        <row r="224">
          <cell r="A224" t="str">
            <v>Захарова Александра Андреевна</v>
          </cell>
          <cell r="B224" t="str">
            <v>773380026869</v>
          </cell>
          <cell r="C224"/>
        </row>
        <row r="225">
          <cell r="A225" t="str">
            <v>Заяц Анна Ивановна</v>
          </cell>
          <cell r="B225" t="str">
            <v>312821415765</v>
          </cell>
          <cell r="C225"/>
        </row>
        <row r="226">
          <cell r="A226" t="str">
            <v>Зверьков Евгений Сергеевич</v>
          </cell>
          <cell r="B226" t="str">
            <v>772022565636</v>
          </cell>
          <cell r="C226"/>
        </row>
        <row r="227">
          <cell r="A227" t="str">
            <v>Зверькова Анна Владимировна</v>
          </cell>
          <cell r="B227" t="str">
            <v>500109060435</v>
          </cell>
          <cell r="C227"/>
        </row>
        <row r="228">
          <cell r="A228" t="str">
            <v>Зеленовский Владимир Вячеславович</v>
          </cell>
          <cell r="B228" t="str">
            <v>631310635696</v>
          </cell>
          <cell r="C228"/>
        </row>
        <row r="229">
          <cell r="A229" t="str">
            <v>Зеленцова Ирина Сергеевна</v>
          </cell>
          <cell r="B229" t="str">
            <v>771505948804</v>
          </cell>
          <cell r="C229"/>
        </row>
        <row r="230">
          <cell r="A230" t="str">
            <v>Зиннатуллин Тимур Равилевич</v>
          </cell>
          <cell r="B230" t="str">
            <v>890510622505</v>
          </cell>
          <cell r="C230"/>
        </row>
        <row r="231">
          <cell r="A231" t="str">
            <v>Зинченко Александр Владимирович</v>
          </cell>
          <cell r="B231" t="str">
            <v>771574650800</v>
          </cell>
          <cell r="C231"/>
        </row>
        <row r="232">
          <cell r="A232" t="str">
            <v>Зотова Виктория Сергеевна</v>
          </cell>
          <cell r="B232" t="str">
            <v>710309332409</v>
          </cell>
          <cell r="C232"/>
        </row>
        <row r="233">
          <cell r="A233" t="str">
            <v>Зотова Софья Александровна</v>
          </cell>
          <cell r="B233" t="str">
            <v>590416290501</v>
          </cell>
          <cell r="C233"/>
        </row>
        <row r="234">
          <cell r="A234" t="str">
            <v>Зухуров Рустам Хайриддинович</v>
          </cell>
          <cell r="B234" t="str">
            <v>500513763957</v>
          </cell>
          <cell r="C234"/>
        </row>
        <row r="235">
          <cell r="A235" t="str">
            <v>Ибрагимов Дамир Ильгизович</v>
          </cell>
          <cell r="B235" t="str">
            <v>165125707557</v>
          </cell>
          <cell r="C235"/>
        </row>
        <row r="236">
          <cell r="A236" t="str">
            <v>Иванов Алексей Валерьевич</v>
          </cell>
          <cell r="B236" t="str">
            <v>920451393954</v>
          </cell>
          <cell r="C236"/>
        </row>
        <row r="237">
          <cell r="A237" t="str">
            <v>Иванов Андрей Евгеньевич</v>
          </cell>
          <cell r="B237" t="str">
            <v>500115981441</v>
          </cell>
          <cell r="C237"/>
        </row>
        <row r="238">
          <cell r="A238" t="str">
            <v>Иванов Иван Владимирович</v>
          </cell>
          <cell r="B238" t="str">
            <v>772370410545</v>
          </cell>
          <cell r="C238"/>
        </row>
        <row r="239">
          <cell r="A239" t="str">
            <v>Иванов Максим Арсеньевич</v>
          </cell>
          <cell r="B239" t="str">
            <v>772394417701</v>
          </cell>
          <cell r="C239"/>
        </row>
        <row r="240">
          <cell r="A240" t="str">
            <v>Иванова Татьяна Викторовна</v>
          </cell>
          <cell r="B240" t="str">
            <v>773712846603</v>
          </cell>
          <cell r="C240"/>
        </row>
        <row r="241">
          <cell r="A241" t="str">
            <v>Иваныкин Александр Владимирович</v>
          </cell>
          <cell r="B241" t="str">
            <v>772146876842</v>
          </cell>
          <cell r="C241"/>
        </row>
        <row r="242">
          <cell r="A242" t="str">
            <v>Ивасенко Сергей Владимирович</v>
          </cell>
          <cell r="B242" t="str">
            <v>231907106460</v>
          </cell>
          <cell r="C242"/>
        </row>
        <row r="243">
          <cell r="A243" t="str">
            <v>Ивенский Георгий Андреевич</v>
          </cell>
          <cell r="B243" t="str">
            <v>771617124474</v>
          </cell>
          <cell r="C243"/>
        </row>
        <row r="244">
          <cell r="A244" t="str">
            <v>Ивлев Всеволод Александрович</v>
          </cell>
          <cell r="B244" t="str">
            <v>361801500980</v>
          </cell>
          <cell r="C244"/>
        </row>
        <row r="245">
          <cell r="A245" t="str">
            <v>Игнаткина Екатерина Сергеевна</v>
          </cell>
          <cell r="B245" t="str">
            <v>503012425663</v>
          </cell>
          <cell r="C245"/>
        </row>
        <row r="246">
          <cell r="A246" t="str">
            <v>Игнатова Маргарита Александровна</v>
          </cell>
          <cell r="B246" t="str">
            <v>773002300418</v>
          </cell>
          <cell r="C246"/>
        </row>
        <row r="247">
          <cell r="A247" t="str">
            <v>Измайлов Станислав Владимирович</v>
          </cell>
          <cell r="B247" t="str">
            <v>772835122694</v>
          </cell>
          <cell r="C247"/>
        </row>
        <row r="248">
          <cell r="A248" t="str">
            <v>Иккес Юлия Викторовна</v>
          </cell>
          <cell r="B248" t="str">
            <v>370205985288</v>
          </cell>
          <cell r="C248"/>
        </row>
        <row r="249">
          <cell r="A249" t="str">
            <v>Ильин Виктор Александрович</v>
          </cell>
          <cell r="B249" t="str">
            <v>344693590793</v>
          </cell>
          <cell r="C249"/>
        </row>
        <row r="250">
          <cell r="A250" t="str">
            <v>Исаева Лариса Павловна</v>
          </cell>
          <cell r="B250" t="str">
            <v>503011789202</v>
          </cell>
          <cell r="C250"/>
        </row>
        <row r="251">
          <cell r="A251" t="str">
            <v>Каврыков Антон Валерьевич</v>
          </cell>
          <cell r="B251" t="str">
            <v>501605022654</v>
          </cell>
          <cell r="C251"/>
        </row>
        <row r="252">
          <cell r="A252" t="str">
            <v>Каграманян Давид Геворгович</v>
          </cell>
          <cell r="B252" t="str">
            <v>501817296209</v>
          </cell>
          <cell r="C252"/>
        </row>
        <row r="253">
          <cell r="A253" t="str">
            <v>Казаков Владимир Сергеевич</v>
          </cell>
          <cell r="B253" t="str">
            <v>772794888494</v>
          </cell>
          <cell r="C253"/>
        </row>
        <row r="254">
          <cell r="A254" t="str">
            <v>Казакова Динара Хайдяровна</v>
          </cell>
          <cell r="B254" t="str">
            <v>771505654160</v>
          </cell>
          <cell r="C254"/>
        </row>
        <row r="255">
          <cell r="A255" t="str">
            <v>Казанцев Руслан Константинович</v>
          </cell>
          <cell r="B255" t="str">
            <v>270300032370</v>
          </cell>
          <cell r="C255"/>
        </row>
        <row r="256">
          <cell r="A256" t="str">
            <v>Кайнова Елизавета Алексеевна</v>
          </cell>
          <cell r="B256" t="str">
            <v>770501030169</v>
          </cell>
          <cell r="C256"/>
        </row>
        <row r="257">
          <cell r="A257" t="str">
            <v>Кальненкова Анастасия Сергеевна</v>
          </cell>
          <cell r="B257" t="str">
            <v>502603890520</v>
          </cell>
          <cell r="C257"/>
        </row>
        <row r="258">
          <cell r="A258" t="str">
            <v>Кальщиков Виктор Петрович</v>
          </cell>
          <cell r="B258" t="str">
            <v>773578671562</v>
          </cell>
          <cell r="C258"/>
        </row>
        <row r="259">
          <cell r="A259" t="str">
            <v>Караулов Дмитрий Алексеевич</v>
          </cell>
          <cell r="B259" t="str">
            <v>772452129945</v>
          </cell>
          <cell r="C259"/>
        </row>
        <row r="260">
          <cell r="A260" t="str">
            <v>Каргальцева Екатерина Алексеевна</v>
          </cell>
          <cell r="B260" t="str">
            <v>771412940792</v>
          </cell>
          <cell r="C260"/>
        </row>
        <row r="261">
          <cell r="A261" t="str">
            <v>Карлина Ольга Николаевна</v>
          </cell>
          <cell r="B261" t="str">
            <v>502210554588</v>
          </cell>
          <cell r="C261"/>
        </row>
        <row r="262">
          <cell r="A262" t="str">
            <v>Карманов Виталий Валериевич</v>
          </cell>
          <cell r="B262" t="str">
            <v>111400709201</v>
          </cell>
          <cell r="C262"/>
        </row>
        <row r="263">
          <cell r="A263" t="str">
            <v>Карпушкина Людмила Сергеевна</v>
          </cell>
          <cell r="B263" t="str">
            <v>631816074614</v>
          </cell>
          <cell r="C263"/>
        </row>
        <row r="264">
          <cell r="A264" t="str">
            <v>Кемик Борис Хайреддинович</v>
          </cell>
          <cell r="B264" t="str">
            <v>910306808036</v>
          </cell>
          <cell r="C264"/>
        </row>
        <row r="265">
          <cell r="A265" t="str">
            <v>Кемик Инна Викторовна</v>
          </cell>
          <cell r="B265" t="str">
            <v>312806737510</v>
          </cell>
          <cell r="C265"/>
        </row>
        <row r="266">
          <cell r="A266" t="str">
            <v>Килба Азамат Муратович</v>
          </cell>
          <cell r="B266" t="str">
            <v>091707627405</v>
          </cell>
          <cell r="C266"/>
        </row>
        <row r="267">
          <cell r="A267" t="str">
            <v>Ким Алексей Владимирович</v>
          </cell>
          <cell r="B267" t="str">
            <v>772424053885</v>
          </cell>
          <cell r="C267"/>
        </row>
        <row r="268">
          <cell r="A268" t="str">
            <v>Кирпичникова Екатерина Александровна</v>
          </cell>
          <cell r="B268" t="str">
            <v>773389889274</v>
          </cell>
          <cell r="C268"/>
        </row>
        <row r="269">
          <cell r="A269" t="str">
            <v>Кирюшатов Станислав Валерьевич</v>
          </cell>
          <cell r="B269" t="str">
            <v>682603275542</v>
          </cell>
          <cell r="C269"/>
        </row>
        <row r="270">
          <cell r="A270" t="str">
            <v>Киселев Антон Александрович</v>
          </cell>
          <cell r="B270" t="str">
            <v>032618810603</v>
          </cell>
          <cell r="C270"/>
        </row>
        <row r="271">
          <cell r="A271" t="str">
            <v>Киселева Антонина Сергеевна</v>
          </cell>
          <cell r="B271" t="str">
            <v>772153681763</v>
          </cell>
          <cell r="C271"/>
        </row>
        <row r="272">
          <cell r="A272" t="str">
            <v>Киселев-Борзых Дмитрий Андреевич</v>
          </cell>
          <cell r="B272" t="str">
            <v>371122914091</v>
          </cell>
          <cell r="C272"/>
        </row>
        <row r="273">
          <cell r="A273" t="str">
            <v>Киташкина Наталья Владимировна</v>
          </cell>
          <cell r="B273" t="str">
            <v>772004541431</v>
          </cell>
          <cell r="C273"/>
        </row>
        <row r="274">
          <cell r="A274" t="str">
            <v>Кихай Надежда Викторовна</v>
          </cell>
          <cell r="B274" t="str">
            <v>773571250340</v>
          </cell>
          <cell r="C274"/>
        </row>
        <row r="275">
          <cell r="A275" t="str">
            <v>Киямова Елена Андреевна</v>
          </cell>
          <cell r="B275" t="str">
            <v>760402960921</v>
          </cell>
          <cell r="C275"/>
        </row>
        <row r="276">
          <cell r="A276" t="str">
            <v>Князев Андрей Дмитриевич</v>
          </cell>
          <cell r="B276" t="str">
            <v>712302806090</v>
          </cell>
          <cell r="C276"/>
        </row>
        <row r="277">
          <cell r="A277" t="str">
            <v>Ковалёв Игорь Юрьевич</v>
          </cell>
          <cell r="B277" t="str">
            <v>772070057400</v>
          </cell>
          <cell r="C277"/>
        </row>
        <row r="278">
          <cell r="A278" t="str">
            <v>Коваленко Ксения Сергеевна</v>
          </cell>
          <cell r="B278" t="str">
            <v>752904004282</v>
          </cell>
          <cell r="C278"/>
        </row>
        <row r="279">
          <cell r="A279" t="str">
            <v>Коган Анастасия Сергеевна</v>
          </cell>
          <cell r="B279" t="str">
            <v>972701377431</v>
          </cell>
          <cell r="C279"/>
        </row>
        <row r="280">
          <cell r="A280" t="str">
            <v>Кожинский Антон Сергеевич</v>
          </cell>
          <cell r="B280" t="str">
            <v>770505980700</v>
          </cell>
          <cell r="C280"/>
        </row>
        <row r="281">
          <cell r="A281" t="str">
            <v>Кожухова Полина Владимировна</v>
          </cell>
          <cell r="B281" t="str">
            <v>740414634729</v>
          </cell>
          <cell r="C281"/>
        </row>
        <row r="282">
          <cell r="A282" t="str">
            <v>Козлов Евгений Викторович</v>
          </cell>
          <cell r="B282" t="str">
            <v>312327447557</v>
          </cell>
          <cell r="C282"/>
        </row>
        <row r="283">
          <cell r="A283" t="str">
            <v>Козлов Павел Максимович</v>
          </cell>
          <cell r="B283" t="str">
            <v>773583109856</v>
          </cell>
          <cell r="C283"/>
        </row>
        <row r="284">
          <cell r="A284" t="str">
            <v>Козлова Анна Константиновна</v>
          </cell>
          <cell r="B284" t="str">
            <v>441400212047</v>
          </cell>
          <cell r="C284"/>
        </row>
        <row r="285">
          <cell r="A285" t="str">
            <v>Козлова Лолита Витальевна</v>
          </cell>
          <cell r="B285" t="str">
            <v>253610213468</v>
          </cell>
          <cell r="C285"/>
        </row>
        <row r="286">
          <cell r="A286" t="str">
            <v>Козулин Антон Александрович</v>
          </cell>
          <cell r="B286" t="str">
            <v>773128451380</v>
          </cell>
          <cell r="C286"/>
        </row>
        <row r="287">
          <cell r="A287" t="str">
            <v>Кокора Эвелина Евгеньевна</v>
          </cell>
          <cell r="B287" t="str">
            <v>231527625879</v>
          </cell>
          <cell r="C287"/>
        </row>
        <row r="288">
          <cell r="A288" t="str">
            <v>Колесникова Диана Игоревна</v>
          </cell>
          <cell r="B288" t="str">
            <v>616809609752</v>
          </cell>
          <cell r="C288"/>
        </row>
        <row r="289">
          <cell r="A289" t="str">
            <v>Колкунова Нина Викторовна</v>
          </cell>
          <cell r="B289" t="str">
            <v>773303868719</v>
          </cell>
          <cell r="C289"/>
        </row>
        <row r="290">
          <cell r="A290" t="str">
            <v>Колобова Софья Сергеевна</v>
          </cell>
          <cell r="B290" t="str">
            <v>505010964712</v>
          </cell>
          <cell r="C290"/>
        </row>
        <row r="291">
          <cell r="A291" t="str">
            <v>Колыванов Дмитрий Вячеславович</v>
          </cell>
          <cell r="B291" t="str">
            <v>505012829902</v>
          </cell>
          <cell r="C291"/>
        </row>
        <row r="292">
          <cell r="A292" t="str">
            <v>Комнацкая Анна Владимировна</v>
          </cell>
          <cell r="B292" t="str">
            <v>772508481904</v>
          </cell>
          <cell r="C292"/>
        </row>
        <row r="293">
          <cell r="A293" t="str">
            <v>Кондратьева Альбина Викторовна</v>
          </cell>
          <cell r="B293" t="str">
            <v>633067142391</v>
          </cell>
          <cell r="C293"/>
        </row>
        <row r="294">
          <cell r="A294" t="str">
            <v>Конишов Руслан Фархадович</v>
          </cell>
          <cell r="B294" t="str">
            <v>614319711270</v>
          </cell>
          <cell r="C294"/>
        </row>
        <row r="295">
          <cell r="A295" t="str">
            <v>Коннова Татьяна Николаевна</v>
          </cell>
          <cell r="B295" t="str">
            <v>212401678014</v>
          </cell>
          <cell r="C295"/>
        </row>
        <row r="296">
          <cell r="A296" t="str">
            <v>Коновалов Михаил Витальевич</v>
          </cell>
          <cell r="B296" t="str">
            <v>503224319593</v>
          </cell>
          <cell r="C296"/>
        </row>
        <row r="297">
          <cell r="A297" t="str">
            <v>Коновалова Татьяна Алексеевна</v>
          </cell>
          <cell r="B297" t="str">
            <v>132610943805</v>
          </cell>
          <cell r="C297"/>
        </row>
        <row r="298">
          <cell r="A298" t="str">
            <v>Константинов Алексей Николаевич</v>
          </cell>
          <cell r="B298" t="str">
            <v>212304921680</v>
          </cell>
          <cell r="C298"/>
        </row>
        <row r="299">
          <cell r="A299" t="str">
            <v>Конусов Сергей Васильевич</v>
          </cell>
          <cell r="B299" t="str">
            <v>772378545960</v>
          </cell>
          <cell r="C299"/>
        </row>
        <row r="300">
          <cell r="A300" t="str">
            <v>Конькова Юлия Николаевна</v>
          </cell>
          <cell r="B300" t="str">
            <v>672207635202</v>
          </cell>
          <cell r="C300"/>
        </row>
        <row r="301">
          <cell r="A301" t="str">
            <v>Королев Дмитрий Александрович</v>
          </cell>
          <cell r="B301" t="str">
            <v>771537442697</v>
          </cell>
          <cell r="C301"/>
        </row>
        <row r="302">
          <cell r="A302" t="str">
            <v>Король Александр Вячеславович</v>
          </cell>
          <cell r="B302" t="str">
            <v>771410923150</v>
          </cell>
          <cell r="C302"/>
        </row>
        <row r="303">
          <cell r="A303" t="str">
            <v>Коротаев Александр Сергеевич</v>
          </cell>
          <cell r="B303" t="str">
            <v>190220033435</v>
          </cell>
          <cell r="C303"/>
        </row>
        <row r="304">
          <cell r="A304" t="str">
            <v>Короткова Анастасия Александровна</v>
          </cell>
          <cell r="B304" t="str">
            <v>502415675819</v>
          </cell>
          <cell r="C304"/>
        </row>
        <row r="305">
          <cell r="A305" t="str">
            <v>Короткова Елена Николаевна</v>
          </cell>
          <cell r="B305" t="str">
            <v>682100762959</v>
          </cell>
          <cell r="C305"/>
        </row>
        <row r="306">
          <cell r="A306" t="str">
            <v>Корсантия Георгий Гурамович</v>
          </cell>
          <cell r="B306" t="str">
            <v>771682599005</v>
          </cell>
          <cell r="C306"/>
        </row>
        <row r="307">
          <cell r="A307" t="str">
            <v>Коряжнова Олеся Олеговна</v>
          </cell>
          <cell r="B307" t="str">
            <v>245722940839</v>
          </cell>
          <cell r="C307"/>
        </row>
        <row r="308">
          <cell r="A308" t="str">
            <v>Косарева Елена Александровна</v>
          </cell>
          <cell r="B308" t="str">
            <v>131600177275</v>
          </cell>
          <cell r="C308"/>
        </row>
        <row r="309">
          <cell r="A309" t="str">
            <v>Косачева Валерия Борисовна</v>
          </cell>
          <cell r="B309" t="str">
            <v>614501662608</v>
          </cell>
          <cell r="C309"/>
        </row>
        <row r="310">
          <cell r="A310" t="str">
            <v>Косминская Алиса Максимовна</v>
          </cell>
          <cell r="B310" t="str">
            <v>280117186339</v>
          </cell>
          <cell r="C310"/>
        </row>
        <row r="311">
          <cell r="A311" t="str">
            <v>Костенко Елизавета Александровна</v>
          </cell>
          <cell r="B311" t="str">
            <v>504030762906</v>
          </cell>
          <cell r="C311"/>
        </row>
        <row r="312">
          <cell r="A312" t="str">
            <v>Костюхин Михаил Алексеевич</v>
          </cell>
          <cell r="B312" t="str">
            <v>771618629189</v>
          </cell>
          <cell r="C312"/>
        </row>
        <row r="313">
          <cell r="A313" t="str">
            <v>Костюченко Светлана Михайловна</v>
          </cell>
          <cell r="B313" t="str">
            <v>772987677740</v>
          </cell>
          <cell r="C313"/>
        </row>
        <row r="314">
          <cell r="A314" t="str">
            <v>Косухин Денис Игоревич</v>
          </cell>
          <cell r="B314" t="str">
            <v>370402744725</v>
          </cell>
          <cell r="C314"/>
        </row>
        <row r="315">
          <cell r="A315" t="str">
            <v>Котов Владислав Русланович</v>
          </cell>
          <cell r="B315" t="str">
            <v>501213478661</v>
          </cell>
          <cell r="C315"/>
        </row>
        <row r="316">
          <cell r="A316" t="str">
            <v>Красанов Кирилл Ильич</v>
          </cell>
          <cell r="B316" t="str">
            <v>771377109399</v>
          </cell>
          <cell r="C316"/>
        </row>
        <row r="317">
          <cell r="A317" t="str">
            <v>Краснов Николай Петрович</v>
          </cell>
          <cell r="B317" t="str">
            <v>262609256366</v>
          </cell>
          <cell r="C317"/>
        </row>
        <row r="318">
          <cell r="A318" t="str">
            <v>Красюк Сергей Сергеевич</v>
          </cell>
          <cell r="B318" t="str">
            <v>263606427512</v>
          </cell>
          <cell r="C318"/>
        </row>
        <row r="319">
          <cell r="A319" t="str">
            <v>Кременецкий Николай Константинович</v>
          </cell>
          <cell r="B319" t="str">
            <v>772985606990</v>
          </cell>
          <cell r="C319"/>
        </row>
        <row r="320">
          <cell r="A320" t="str">
            <v>Крохин Сергей Александрович</v>
          </cell>
          <cell r="B320" t="str">
            <v>773466694667</v>
          </cell>
          <cell r="C320"/>
        </row>
        <row r="321">
          <cell r="A321" t="str">
            <v>Кругов Анатолий Фёдорович</v>
          </cell>
          <cell r="B321" t="str">
            <v>681602374732</v>
          </cell>
          <cell r="C321"/>
        </row>
        <row r="322">
          <cell r="A322" t="str">
            <v>Кузенков Александр Владиславович</v>
          </cell>
          <cell r="B322" t="str">
            <v>771551230736</v>
          </cell>
          <cell r="C322"/>
        </row>
        <row r="323">
          <cell r="A323" t="str">
            <v>Кузина Мария Владимировна</v>
          </cell>
          <cell r="B323" t="str">
            <v>263405773745</v>
          </cell>
          <cell r="C323"/>
        </row>
        <row r="324">
          <cell r="A324" t="str">
            <v>Кузнецов Алексей Владимирович</v>
          </cell>
          <cell r="B324" t="str">
            <v>771577217521</v>
          </cell>
          <cell r="C324"/>
        </row>
        <row r="325">
          <cell r="A325" t="str">
            <v>Кузнецов Василий Валерьевич</v>
          </cell>
          <cell r="B325" t="str">
            <v>772328922525</v>
          </cell>
          <cell r="C325"/>
        </row>
        <row r="326">
          <cell r="A326" t="str">
            <v>Кузнецов Олег Станиславович</v>
          </cell>
          <cell r="B326" t="str">
            <v>772346131050</v>
          </cell>
          <cell r="C326"/>
        </row>
        <row r="327">
          <cell r="A327" t="str">
            <v>Кузнецова Анастасия Андреевна</v>
          </cell>
          <cell r="B327" t="str">
            <v>760414722093</v>
          </cell>
          <cell r="C327"/>
        </row>
        <row r="328">
          <cell r="A328" t="str">
            <v>Кузькин Андрей Викторович</v>
          </cell>
          <cell r="B328" t="str">
            <v>450125578738</v>
          </cell>
          <cell r="C328"/>
        </row>
        <row r="329">
          <cell r="A329" t="str">
            <v>Кузьменко Илья Григорьевич</v>
          </cell>
          <cell r="B329" t="str">
            <v>771549095303</v>
          </cell>
          <cell r="C329"/>
        </row>
        <row r="330">
          <cell r="A330" t="str">
            <v>Кузьмин Вадим Игоревич</v>
          </cell>
          <cell r="B330" t="str">
            <v>672906283560</v>
          </cell>
          <cell r="C330"/>
        </row>
        <row r="331">
          <cell r="A331" t="str">
            <v>Кузьмин Роман Александрович</v>
          </cell>
          <cell r="B331" t="str">
            <v>774335299094</v>
          </cell>
          <cell r="C331"/>
        </row>
        <row r="332">
          <cell r="A332" t="str">
            <v>Кузьмина Валентина Сергеевна</v>
          </cell>
          <cell r="B332" t="str">
            <v>772345243428</v>
          </cell>
          <cell r="C332"/>
        </row>
        <row r="333">
          <cell r="A333" t="str">
            <v>Кузьмина Мария Николаевна</v>
          </cell>
          <cell r="B333" t="str">
            <v>781619297550</v>
          </cell>
          <cell r="C333"/>
        </row>
        <row r="334">
          <cell r="A334" t="str">
            <v>Кукарская Юлия Денисовна</v>
          </cell>
          <cell r="B334" t="str">
            <v>323211643007</v>
          </cell>
          <cell r="C334"/>
        </row>
        <row r="335">
          <cell r="A335" t="str">
            <v>Кукушкина Алёна Владимировна</v>
          </cell>
          <cell r="B335" t="str">
            <v>504318582048</v>
          </cell>
          <cell r="C335"/>
        </row>
        <row r="336">
          <cell r="A336" t="str">
            <v>Кукушкина Валерия Павловна</v>
          </cell>
          <cell r="B336" t="str">
            <v>504026087462</v>
          </cell>
          <cell r="C336"/>
        </row>
        <row r="337">
          <cell r="A337" t="str">
            <v>Кулагин Павел Олегович</v>
          </cell>
          <cell r="B337" t="str">
            <v>772917331346</v>
          </cell>
          <cell r="C337"/>
        </row>
        <row r="338">
          <cell r="A338" t="str">
            <v>Кулаев Алан Русланович</v>
          </cell>
          <cell r="B338" t="str">
            <v>151305123405</v>
          </cell>
          <cell r="C338"/>
        </row>
        <row r="339">
          <cell r="A339" t="str">
            <v>Кулёва Ольга Сергеевна совм.</v>
          </cell>
          <cell r="B339" t="str">
            <v>770104543213</v>
          </cell>
          <cell r="C339"/>
        </row>
        <row r="340">
          <cell r="A340" t="str">
            <v>Кулеша Алексей Александрович</v>
          </cell>
          <cell r="B340" t="str">
            <v>502409668330</v>
          </cell>
          <cell r="C340"/>
        </row>
        <row r="341">
          <cell r="A341" t="str">
            <v>Кулина Ольга Николаевна</v>
          </cell>
          <cell r="B341" t="str">
            <v>890411029799</v>
          </cell>
          <cell r="C341"/>
        </row>
        <row r="342">
          <cell r="A342" t="str">
            <v>Купарев Олег Олегович</v>
          </cell>
          <cell r="B342" t="str">
            <v>772161035428</v>
          </cell>
          <cell r="C342"/>
        </row>
        <row r="343">
          <cell r="A343" t="str">
            <v>Купчикова Наталья Викторовна</v>
          </cell>
          <cell r="B343" t="str">
            <v>301612729671</v>
          </cell>
          <cell r="C343"/>
        </row>
        <row r="344">
          <cell r="A344" t="str">
            <v>Кураксин Антон Александрович</v>
          </cell>
          <cell r="B344" t="str">
            <v>621103311986</v>
          </cell>
          <cell r="C344"/>
        </row>
        <row r="345">
          <cell r="A345" t="str">
            <v>Курандина Алина Александровна</v>
          </cell>
          <cell r="B345" t="str">
            <v>504228604931</v>
          </cell>
          <cell r="C345"/>
        </row>
        <row r="346">
          <cell r="A346" t="str">
            <v>Курганская Марина Владимировна</v>
          </cell>
          <cell r="B346" t="str">
            <v>771596412912</v>
          </cell>
          <cell r="C346"/>
        </row>
        <row r="347">
          <cell r="A347" t="str">
            <v>Курский Андрей Юрьевич</v>
          </cell>
          <cell r="B347" t="str">
            <v>771902605095</v>
          </cell>
          <cell r="C347"/>
        </row>
        <row r="348">
          <cell r="A348" t="str">
            <v>Кустов Николай Сергеевич</v>
          </cell>
          <cell r="B348" t="str">
            <v>231518985850</v>
          </cell>
          <cell r="C348"/>
        </row>
        <row r="349">
          <cell r="A349" t="str">
            <v>Лазуткин Юрий Викторович</v>
          </cell>
          <cell r="B349" t="str">
            <v>672205972178</v>
          </cell>
          <cell r="C349"/>
        </row>
        <row r="350">
          <cell r="A350" t="str">
            <v>Лапшина Наталья Сергеевна</v>
          </cell>
          <cell r="B350" t="str">
            <v>772024051594</v>
          </cell>
          <cell r="C350"/>
        </row>
        <row r="351">
          <cell r="A351" t="str">
            <v>Ларичев Андрей Владимирович</v>
          </cell>
          <cell r="B351" t="str">
            <v>503236671601</v>
          </cell>
          <cell r="C351"/>
        </row>
        <row r="352">
          <cell r="A352" t="str">
            <v>Ласенко Юлия Юрьевна</v>
          </cell>
          <cell r="B352" t="str">
            <v>772084921010</v>
          </cell>
          <cell r="C352"/>
        </row>
        <row r="353">
          <cell r="A353" t="str">
            <v>Лебедев Владислав Вадимович</v>
          </cell>
          <cell r="B353" t="str">
            <v>691409005677</v>
          </cell>
          <cell r="C353"/>
        </row>
        <row r="354">
          <cell r="A354" t="str">
            <v>Лебедева Виктория Андреевна</v>
          </cell>
          <cell r="B354" t="str">
            <v>780102627591</v>
          </cell>
          <cell r="C354"/>
        </row>
        <row r="355">
          <cell r="A355" t="str">
            <v>Леванова Юлия Николаевна</v>
          </cell>
          <cell r="B355" t="str">
            <v>324106323592</v>
          </cell>
          <cell r="C355"/>
        </row>
        <row r="356">
          <cell r="A356" t="str">
            <v>Левин Иван Сергеевич</v>
          </cell>
          <cell r="B356" t="str">
            <v>503417583259</v>
          </cell>
          <cell r="C356"/>
        </row>
        <row r="357">
          <cell r="A357" t="str">
            <v>Левитина Полина Дмитриевна</v>
          </cell>
          <cell r="B357" t="str">
            <v>771984797405</v>
          </cell>
          <cell r="C357"/>
        </row>
        <row r="358">
          <cell r="A358" t="str">
            <v>Леккина Анастасия Владимировна</v>
          </cell>
          <cell r="B358" t="str">
            <v>780427173502</v>
          </cell>
          <cell r="C358"/>
        </row>
        <row r="359">
          <cell r="A359" t="str">
            <v>Ленюк Сергей Сергеевич</v>
          </cell>
          <cell r="B359" t="str">
            <v>772371522202</v>
          </cell>
          <cell r="C359"/>
        </row>
        <row r="360">
          <cell r="A360" t="str">
            <v>Леонтьев Ярослав Сергеевич</v>
          </cell>
          <cell r="B360" t="str">
            <v>772830268227</v>
          </cell>
          <cell r="C360"/>
        </row>
        <row r="361">
          <cell r="A361" t="str">
            <v>Либет Анастасия Валерьевна</v>
          </cell>
          <cell r="B361" t="str">
            <v>590309520207</v>
          </cell>
          <cell r="C361"/>
        </row>
        <row r="362">
          <cell r="A362" t="str">
            <v>Ликсутин Никита Алексеевич</v>
          </cell>
          <cell r="B362" t="str">
            <v>500915910922</v>
          </cell>
          <cell r="C362"/>
        </row>
        <row r="363">
          <cell r="A363" t="str">
            <v>Липатникова Ольга Михайловна</v>
          </cell>
          <cell r="B363" t="str">
            <v>772167097678</v>
          </cell>
          <cell r="C363"/>
        </row>
        <row r="364">
          <cell r="A364" t="str">
            <v>Лисеенко Владислав Витальевич</v>
          </cell>
          <cell r="B364" t="str">
            <v>236404741419</v>
          </cell>
          <cell r="C364"/>
        </row>
        <row r="365">
          <cell r="A365" t="str">
            <v>Литвинцев Алексей Валерьевич</v>
          </cell>
          <cell r="B365" t="str">
            <v>381100271439</v>
          </cell>
          <cell r="C365"/>
        </row>
        <row r="366">
          <cell r="A366" t="str">
            <v>Лобанов Дмитрий Михайлович</v>
          </cell>
          <cell r="B366" t="str">
            <v>772512413449</v>
          </cell>
          <cell r="C366"/>
        </row>
        <row r="367">
          <cell r="A367" t="str">
            <v>Лобанов Илья Михайлович</v>
          </cell>
          <cell r="B367" t="str">
            <v>771548662528</v>
          </cell>
          <cell r="C367"/>
        </row>
        <row r="368">
          <cell r="A368" t="str">
            <v>Лобанова Алена Андреевна</v>
          </cell>
          <cell r="B368" t="str">
            <v>420593104812</v>
          </cell>
          <cell r="C368"/>
        </row>
        <row r="369">
          <cell r="A369" t="str">
            <v>Ловчева Мария Александровна</v>
          </cell>
          <cell r="B369" t="str">
            <v>772155710586</v>
          </cell>
          <cell r="C369"/>
        </row>
        <row r="370">
          <cell r="A370" t="str">
            <v>Логвиненко Евгений Сергеевич</v>
          </cell>
          <cell r="B370" t="str">
            <v>550728791593</v>
          </cell>
          <cell r="C370"/>
        </row>
        <row r="371">
          <cell r="A371" t="str">
            <v>Лодяной Андрей Александрович</v>
          </cell>
          <cell r="B371" t="str">
            <v>580508503841</v>
          </cell>
          <cell r="C371"/>
        </row>
        <row r="372">
          <cell r="A372" t="str">
            <v>Лоцман Карина Рафаэлевна</v>
          </cell>
          <cell r="B372" t="str">
            <v>741510966736</v>
          </cell>
          <cell r="C372"/>
        </row>
        <row r="373">
          <cell r="A373" t="str">
            <v>Лудильщиков Иван Иванович</v>
          </cell>
          <cell r="B373" t="str">
            <v>502216171609</v>
          </cell>
          <cell r="C373"/>
        </row>
        <row r="374">
          <cell r="A374" t="str">
            <v>Лузгачев Юрий Владимирович</v>
          </cell>
          <cell r="B374" t="str">
            <v>352831001600</v>
          </cell>
          <cell r="C374"/>
        </row>
        <row r="375">
          <cell r="A375" t="str">
            <v>Луканова Анастасия Леонидовна</v>
          </cell>
          <cell r="B375" t="str">
            <v>772300427182</v>
          </cell>
          <cell r="C375"/>
        </row>
        <row r="376">
          <cell r="A376" t="str">
            <v>Лукичев Дмитрий Олегович</v>
          </cell>
          <cell r="B376" t="str">
            <v>771564001074</v>
          </cell>
          <cell r="C376"/>
        </row>
        <row r="377">
          <cell r="A377" t="str">
            <v>Лупин Сергей Александрович</v>
          </cell>
          <cell r="B377" t="str">
            <v>773701289975</v>
          </cell>
          <cell r="C377"/>
        </row>
        <row r="378">
          <cell r="A378" t="str">
            <v>Лысов Александр Андреевич</v>
          </cell>
          <cell r="B378" t="str">
            <v>772744421506</v>
          </cell>
          <cell r="C378"/>
        </row>
        <row r="379">
          <cell r="A379" t="str">
            <v>Львов Сергей Александрович</v>
          </cell>
          <cell r="B379" t="str">
            <v>504601783163</v>
          </cell>
          <cell r="C379"/>
        </row>
        <row r="380">
          <cell r="A380" t="str">
            <v>Любимов Илья Александрович</v>
          </cell>
          <cell r="B380" t="str">
            <v>780434474028</v>
          </cell>
          <cell r="C380"/>
        </row>
        <row r="381">
          <cell r="A381" t="str">
            <v>Лямзова Ольга Александровна</v>
          </cell>
          <cell r="B381" t="str">
            <v>771504467544</v>
          </cell>
          <cell r="C381"/>
        </row>
        <row r="382">
          <cell r="A382" t="str">
            <v>Ляшкевич Илья Федорович</v>
          </cell>
          <cell r="B382" t="str">
            <v>771412377869</v>
          </cell>
          <cell r="C382"/>
        </row>
        <row r="383">
          <cell r="A383" t="str">
            <v>Майоров Алексей Сергеевич</v>
          </cell>
          <cell r="B383" t="str">
            <v>771403327580</v>
          </cell>
          <cell r="C383"/>
        </row>
        <row r="384">
          <cell r="A384" t="str">
            <v>Майорова Мария Сергеевна</v>
          </cell>
          <cell r="B384" t="str">
            <v>213002549315</v>
          </cell>
          <cell r="C384"/>
        </row>
        <row r="385">
          <cell r="A385" t="str">
            <v>Майстренко Денис Юрьевич</v>
          </cell>
          <cell r="B385" t="str">
            <v>324102710784</v>
          </cell>
          <cell r="C385"/>
        </row>
        <row r="386">
          <cell r="A386" t="str">
            <v>Макаров Кирилл Григорьевич</v>
          </cell>
          <cell r="B386" t="str">
            <v>771672187637</v>
          </cell>
          <cell r="C386"/>
        </row>
        <row r="387">
          <cell r="A387" t="str">
            <v>Макаров Руслан Александрович</v>
          </cell>
          <cell r="B387" t="str">
            <v>622503167859</v>
          </cell>
          <cell r="C387"/>
        </row>
        <row r="388">
          <cell r="A388" t="str">
            <v>Макеечев Михаил Михайлович</v>
          </cell>
          <cell r="B388" t="str">
            <v>771548755532</v>
          </cell>
          <cell r="C388"/>
        </row>
        <row r="389">
          <cell r="A389" t="str">
            <v>Макшина Наталья Сергеевна</v>
          </cell>
          <cell r="B389" t="str">
            <v>504708332501</v>
          </cell>
          <cell r="C389"/>
        </row>
        <row r="390">
          <cell r="A390" t="str">
            <v>Малгалян Ангелина Григорьевна</v>
          </cell>
          <cell r="B390" t="str">
            <v>503225109856</v>
          </cell>
          <cell r="C390"/>
        </row>
        <row r="391">
          <cell r="A391" t="str">
            <v>Маликова Дарья Александровна</v>
          </cell>
          <cell r="B391" t="str">
            <v>682805705406</v>
          </cell>
          <cell r="C391"/>
        </row>
        <row r="392">
          <cell r="A392" t="str">
            <v>Мамонтова Екатерина Дмитриевна</v>
          </cell>
          <cell r="B392" t="str">
            <v>500906664438</v>
          </cell>
          <cell r="C392"/>
        </row>
        <row r="393">
          <cell r="A393" t="str">
            <v>Мамсиков Сергей Владимирович</v>
          </cell>
          <cell r="B393" t="str">
            <v>502715665924</v>
          </cell>
          <cell r="C393"/>
        </row>
        <row r="394">
          <cell r="A394" t="str">
            <v>Манина Екатерина Михайловна</v>
          </cell>
          <cell r="B394" t="str">
            <v>211578783736</v>
          </cell>
          <cell r="C394"/>
        </row>
        <row r="395">
          <cell r="A395" t="str">
            <v>Маннанова Регина Халитовна</v>
          </cell>
          <cell r="B395" t="str">
            <v>344213034485</v>
          </cell>
          <cell r="C395"/>
        </row>
        <row r="396">
          <cell r="A396" t="str">
            <v>Мантрова Екатерина Витальевна</v>
          </cell>
          <cell r="B396" t="str">
            <v>231848836720</v>
          </cell>
          <cell r="C396"/>
        </row>
        <row r="397">
          <cell r="A397" t="str">
            <v>Мараева Ксения Александровна</v>
          </cell>
          <cell r="B397" t="str">
            <v>667479112755</v>
          </cell>
          <cell r="C397"/>
        </row>
        <row r="398">
          <cell r="A398" t="str">
            <v>Маркелов Сергей Дмитриевич</v>
          </cell>
          <cell r="B398" t="str">
            <v>774335329729</v>
          </cell>
          <cell r="C398"/>
        </row>
        <row r="399">
          <cell r="A399" t="str">
            <v>Марковский Валентин Александрович</v>
          </cell>
          <cell r="B399" t="str">
            <v>231138949422</v>
          </cell>
          <cell r="C399"/>
        </row>
        <row r="400">
          <cell r="A400" t="str">
            <v>Мартынов Игорь Евгеньевич</v>
          </cell>
          <cell r="B400" t="str">
            <v>504505561810</v>
          </cell>
          <cell r="C400"/>
        </row>
        <row r="401">
          <cell r="A401" t="str">
            <v>Марыныч Владимир Викторович</v>
          </cell>
          <cell r="B401" t="str">
            <v>331622141528</v>
          </cell>
          <cell r="C401"/>
        </row>
        <row r="402">
          <cell r="A402" t="str">
            <v>Масик Михаил Николаевич</v>
          </cell>
          <cell r="B402" t="str">
            <v>771545061159</v>
          </cell>
          <cell r="C402"/>
        </row>
        <row r="403">
          <cell r="A403" t="str">
            <v>Маслов Алексей Сергеевич</v>
          </cell>
          <cell r="B403" t="str">
            <v>503228055239</v>
          </cell>
          <cell r="C403"/>
        </row>
        <row r="404">
          <cell r="A404" t="str">
            <v>Матненко Илья Юрьевич</v>
          </cell>
          <cell r="B404" t="str">
            <v>561900374250</v>
          </cell>
          <cell r="C404"/>
        </row>
        <row r="405">
          <cell r="A405" t="str">
            <v>Махин Александр Максимович</v>
          </cell>
          <cell r="B405" t="str">
            <v>920452893124</v>
          </cell>
          <cell r="C405"/>
        </row>
        <row r="406">
          <cell r="A406" t="str">
            <v>Медведев Сергей Александрович</v>
          </cell>
          <cell r="B406" t="str">
            <v>771316889663</v>
          </cell>
          <cell r="C406"/>
        </row>
        <row r="407">
          <cell r="A407" t="str">
            <v>Мельникова Ирина Александровна</v>
          </cell>
          <cell r="B407" t="str">
            <v>581700066701</v>
          </cell>
          <cell r="C407"/>
        </row>
        <row r="408">
          <cell r="A408" t="str">
            <v>Мельниченко Николай Николаевич</v>
          </cell>
          <cell r="B408" t="str">
            <v>772084419642</v>
          </cell>
          <cell r="C408"/>
        </row>
        <row r="409">
          <cell r="A409" t="str">
            <v>Мехтиев Никита Искандерович</v>
          </cell>
          <cell r="B409" t="str">
            <v>772830944524</v>
          </cell>
          <cell r="C409"/>
        </row>
        <row r="410">
          <cell r="A410" t="str">
            <v>Микеева Юлиана Харисовна</v>
          </cell>
          <cell r="B410" t="str">
            <v>732817435138</v>
          </cell>
          <cell r="C410"/>
        </row>
        <row r="411">
          <cell r="A411" t="str">
            <v>Минаева Екатерина Константиновна</v>
          </cell>
          <cell r="B411" t="str">
            <v>682707944526</v>
          </cell>
          <cell r="C411"/>
        </row>
        <row r="412">
          <cell r="A412" t="str">
            <v>Минаева Мария Олеговна</v>
          </cell>
          <cell r="B412" t="str">
            <v>772874315001</v>
          </cell>
          <cell r="C412"/>
        </row>
        <row r="413">
          <cell r="A413" t="str">
            <v>Минаков Андрей Сергеевич</v>
          </cell>
          <cell r="B413" t="str">
            <v>682705351697</v>
          </cell>
          <cell r="C413"/>
        </row>
        <row r="414">
          <cell r="A414" t="str">
            <v>Мирошкин Дмитрий Сергеевич</v>
          </cell>
          <cell r="B414" t="str">
            <v>771379582635</v>
          </cell>
          <cell r="C414"/>
        </row>
        <row r="415">
          <cell r="A415" t="str">
            <v>Митюкова Мария Александровна</v>
          </cell>
          <cell r="B415" t="str">
            <v>770507332014</v>
          </cell>
          <cell r="C415"/>
        </row>
        <row r="416">
          <cell r="A416" t="str">
            <v>Михайлиди Валерий Андреевич</v>
          </cell>
          <cell r="B416" t="str">
            <v>691508432052</v>
          </cell>
          <cell r="C416"/>
        </row>
        <row r="417">
          <cell r="A417" t="str">
            <v>Михалева Влада Александровна</v>
          </cell>
          <cell r="B417" t="str">
            <v>400500642134</v>
          </cell>
          <cell r="C417"/>
        </row>
        <row r="418">
          <cell r="A418" t="str">
            <v>Моисеев Александр Эдуардович</v>
          </cell>
          <cell r="B418" t="str">
            <v>772175079640</v>
          </cell>
          <cell r="C418"/>
        </row>
        <row r="419">
          <cell r="A419" t="str">
            <v>Морозов Алексей Дмитриевич</v>
          </cell>
          <cell r="B419" t="str">
            <v>110404515519</v>
          </cell>
          <cell r="C419"/>
        </row>
        <row r="420">
          <cell r="A420" t="str">
            <v>Морозова Александра Эдуардовна</v>
          </cell>
          <cell r="B420" t="str">
            <v>772143173552</v>
          </cell>
          <cell r="C420"/>
        </row>
        <row r="421">
          <cell r="A421" t="str">
            <v>Морозова Софья Николаевна</v>
          </cell>
          <cell r="B421" t="str">
            <v>502504164904</v>
          </cell>
          <cell r="C421"/>
        </row>
        <row r="422">
          <cell r="A422" t="str">
            <v>Мулика Наталья Вячеславовна</v>
          </cell>
          <cell r="B422" t="str">
            <v>232011729146</v>
          </cell>
          <cell r="C422"/>
        </row>
        <row r="423">
          <cell r="A423" t="str">
            <v>Мунасыпова Лилия Маратовна</v>
          </cell>
          <cell r="B423" t="str">
            <v>231121184969</v>
          </cell>
          <cell r="C423"/>
        </row>
        <row r="424">
          <cell r="A424" t="str">
            <v>Мунасыпова Лилия Маратовна</v>
          </cell>
          <cell r="B424" t="str">
            <v>231121184969</v>
          </cell>
          <cell r="C424"/>
        </row>
        <row r="425">
          <cell r="A425" t="str">
            <v>Мунина Анастасия Константиновна</v>
          </cell>
          <cell r="B425" t="str">
            <v>183312573503</v>
          </cell>
          <cell r="C425"/>
        </row>
        <row r="426">
          <cell r="A426" t="str">
            <v>Муравьева Светлана Викторовна</v>
          </cell>
          <cell r="B426" t="str">
            <v>772772403844</v>
          </cell>
          <cell r="C426"/>
        </row>
        <row r="427">
          <cell r="A427" t="str">
            <v>Мураткина Валерия Александровна</v>
          </cell>
          <cell r="B427" t="str">
            <v>862201308007</v>
          </cell>
          <cell r="C427"/>
        </row>
        <row r="428">
          <cell r="A428" t="str">
            <v>Муренко Сергей Олегович</v>
          </cell>
          <cell r="B428" t="str">
            <v>263108972321</v>
          </cell>
          <cell r="C428"/>
        </row>
        <row r="429">
          <cell r="A429" t="str">
            <v>Мурылева Любовь Ильинична</v>
          </cell>
          <cell r="B429" t="str">
            <v>641400972526</v>
          </cell>
          <cell r="C429"/>
        </row>
        <row r="430">
          <cell r="A430" t="str">
            <v>Мушель Вероника Ильинична</v>
          </cell>
          <cell r="B430" t="str">
            <v>772879792488</v>
          </cell>
          <cell r="C430"/>
        </row>
        <row r="431">
          <cell r="A431" t="str">
            <v>Мышляев Александр Владимирович</v>
          </cell>
          <cell r="B431" t="str">
            <v>121513761008</v>
          </cell>
          <cell r="C431"/>
        </row>
        <row r="432">
          <cell r="A432" t="str">
            <v>Нагаева Лидия Ивановна</v>
          </cell>
          <cell r="B432" t="str">
            <v>770170321358</v>
          </cell>
          <cell r="C432"/>
        </row>
        <row r="433">
          <cell r="A433" t="str">
            <v>Надвоцкая Любовь Ильинична</v>
          </cell>
          <cell r="B433" t="str">
            <v>773311317708</v>
          </cell>
          <cell r="C433"/>
        </row>
        <row r="434">
          <cell r="A434" t="str">
            <v>Надин Иван Яковлевич</v>
          </cell>
          <cell r="B434" t="str">
            <v>130200459322</v>
          </cell>
          <cell r="C434"/>
        </row>
        <row r="435">
          <cell r="A435" t="str">
            <v>Назаров Михаил Сергеевич</v>
          </cell>
          <cell r="B435" t="str">
            <v>783904093170</v>
          </cell>
          <cell r="C435"/>
        </row>
        <row r="436">
          <cell r="A436" t="str">
            <v>Назарова Александра Вячеславовна</v>
          </cell>
          <cell r="B436" t="str">
            <v>772986387935</v>
          </cell>
          <cell r="C436"/>
        </row>
        <row r="437">
          <cell r="A437" t="str">
            <v>Нарцис Яков Вадимович</v>
          </cell>
          <cell r="B437" t="str">
            <v>500304746348</v>
          </cell>
          <cell r="C437"/>
        </row>
        <row r="438">
          <cell r="A438" t="str">
            <v>Неверов Данил Александрович</v>
          </cell>
          <cell r="B438" t="str">
            <v>770474286240</v>
          </cell>
          <cell r="C438"/>
        </row>
        <row r="439">
          <cell r="A439" t="str">
            <v>Ненаглядов Алексей Владимирович</v>
          </cell>
          <cell r="B439" t="str">
            <v>500717941904</v>
          </cell>
          <cell r="C439"/>
        </row>
        <row r="440">
          <cell r="A440" t="str">
            <v>Непомнящих Владимир Анатольевич</v>
          </cell>
          <cell r="B440" t="str">
            <v>744611967026</v>
          </cell>
          <cell r="C440"/>
        </row>
        <row r="441">
          <cell r="A441" t="str">
            <v>Неронова Анастасия Александровна</v>
          </cell>
          <cell r="B441" t="str">
            <v>503128347728</v>
          </cell>
          <cell r="C441"/>
        </row>
        <row r="442">
          <cell r="A442" t="str">
            <v>Неяскина Инна Михайловна</v>
          </cell>
          <cell r="B442" t="str">
            <v>290703171203</v>
          </cell>
          <cell r="C442"/>
        </row>
        <row r="443">
          <cell r="A443" t="str">
            <v>Никитин Ярослав Владимирович</v>
          </cell>
          <cell r="B443" t="str">
            <v>773389537233</v>
          </cell>
          <cell r="C443"/>
        </row>
        <row r="444">
          <cell r="A444" t="str">
            <v>Никитина Елизавета Сергеевна</v>
          </cell>
          <cell r="B444" t="str">
            <v>780109487632</v>
          </cell>
          <cell r="C444"/>
        </row>
        <row r="445">
          <cell r="A445" t="str">
            <v>Никишев Георгий Сергеевич</v>
          </cell>
          <cell r="B445" t="str">
            <v>504011300303</v>
          </cell>
          <cell r="C445"/>
        </row>
        <row r="446">
          <cell r="A446" t="str">
            <v>Никишева Светлана Павловна</v>
          </cell>
          <cell r="B446" t="str">
            <v>711707838203</v>
          </cell>
          <cell r="C446"/>
        </row>
        <row r="447">
          <cell r="A447" t="str">
            <v>Никишева Светлана Павловна</v>
          </cell>
          <cell r="B447" t="str">
            <v>711707838203</v>
          </cell>
          <cell r="C447"/>
        </row>
        <row r="448">
          <cell r="A448" t="str">
            <v>Никогосьян Антон Андреевич</v>
          </cell>
          <cell r="B448" t="str">
            <v>770508344573</v>
          </cell>
          <cell r="C448"/>
        </row>
        <row r="449">
          <cell r="A449" t="str">
            <v>Николаев Никита Андреевич</v>
          </cell>
          <cell r="B449" t="str">
            <v>774333572301</v>
          </cell>
          <cell r="C449"/>
        </row>
        <row r="450">
          <cell r="A450" t="str">
            <v>Никонова Александра Андреевна</v>
          </cell>
          <cell r="B450" t="str">
            <v>672204446207</v>
          </cell>
          <cell r="C450"/>
        </row>
        <row r="451">
          <cell r="A451" t="str">
            <v>Никонова Александра Андреевна</v>
          </cell>
          <cell r="B451" t="str">
            <v>672204446207</v>
          </cell>
          <cell r="C451"/>
        </row>
        <row r="452">
          <cell r="A452" t="str">
            <v>Новиков Владимир Андреевич</v>
          </cell>
          <cell r="B452" t="str">
            <v>560711180401</v>
          </cell>
          <cell r="C452"/>
        </row>
        <row r="453">
          <cell r="A453" t="str">
            <v>Новикова Любима Андреевна</v>
          </cell>
          <cell r="B453" t="str">
            <v>261812732807</v>
          </cell>
          <cell r="C453"/>
        </row>
        <row r="454">
          <cell r="A454" t="str">
            <v>Новикова Наталья Николаевна</v>
          </cell>
          <cell r="B454" t="str">
            <v>771205786013</v>
          </cell>
          <cell r="C454"/>
        </row>
        <row r="455">
          <cell r="A455" t="str">
            <v>Новицкий Алексей Романович</v>
          </cell>
          <cell r="B455" t="str">
            <v>771530076353</v>
          </cell>
          <cell r="C455"/>
        </row>
        <row r="456">
          <cell r="A456" t="str">
            <v>Овсюков Дмитрий Алексеевич</v>
          </cell>
          <cell r="B456" t="str">
            <v>771872744846</v>
          </cell>
          <cell r="C456"/>
        </row>
        <row r="457">
          <cell r="A457" t="str">
            <v>Оганесян Арутюн Араикович</v>
          </cell>
          <cell r="B457" t="str">
            <v>780431848028</v>
          </cell>
          <cell r="C457"/>
        </row>
        <row r="458">
          <cell r="A458" t="str">
            <v>Омарова Фатима Сафаровна</v>
          </cell>
          <cell r="B458" t="str">
            <v>526321615765</v>
          </cell>
          <cell r="C458"/>
        </row>
        <row r="459">
          <cell r="A459" t="str">
            <v>Орешкин Илья Олегович</v>
          </cell>
          <cell r="B459" t="str">
            <v>524926649935</v>
          </cell>
          <cell r="C459"/>
        </row>
        <row r="460">
          <cell r="A460" t="str">
            <v>Орлеанская Александра Романовна</v>
          </cell>
          <cell r="B460" t="str">
            <v>710303670345</v>
          </cell>
          <cell r="C460"/>
        </row>
        <row r="461">
          <cell r="A461" t="str">
            <v>Орлов Евгений Александрович</v>
          </cell>
          <cell r="B461" t="str">
            <v>773381309605</v>
          </cell>
          <cell r="C461"/>
        </row>
        <row r="462">
          <cell r="A462" t="str">
            <v>Осипенков Денис Вячеславович</v>
          </cell>
          <cell r="B462" t="str">
            <v>773610009839</v>
          </cell>
          <cell r="C462"/>
        </row>
        <row r="463">
          <cell r="A463" t="str">
            <v>Осленко Ростислав Алексеевич</v>
          </cell>
          <cell r="B463" t="str">
            <v>770171322749</v>
          </cell>
          <cell r="C463"/>
        </row>
        <row r="464">
          <cell r="A464" t="str">
            <v>Османов Талабани Матлабович</v>
          </cell>
          <cell r="B464" t="str">
            <v>773124109874</v>
          </cell>
          <cell r="C464"/>
        </row>
        <row r="465">
          <cell r="A465" t="str">
            <v>Павелко Виктория Александровна</v>
          </cell>
          <cell r="B465" t="str">
            <v>505017396762</v>
          </cell>
          <cell r="C465"/>
        </row>
        <row r="466">
          <cell r="A466" t="str">
            <v>Пальчиков Павел Юрьевич</v>
          </cell>
          <cell r="B466" t="str">
            <v>502715719094</v>
          </cell>
          <cell r="C466"/>
        </row>
        <row r="467">
          <cell r="A467" t="str">
            <v>Панарин Андрей Валерьевич</v>
          </cell>
          <cell r="B467" t="str">
            <v>771576919493</v>
          </cell>
          <cell r="C467"/>
        </row>
        <row r="468">
          <cell r="A468" t="str">
            <v>Паненко Дмитрий Александрович</v>
          </cell>
          <cell r="B468" t="str">
            <v>261904623893</v>
          </cell>
          <cell r="C468"/>
        </row>
        <row r="469">
          <cell r="A469" t="str">
            <v>Панченко Богдан Сергеевич</v>
          </cell>
          <cell r="B469" t="str">
            <v>500112161095</v>
          </cell>
          <cell r="C469"/>
        </row>
        <row r="470">
          <cell r="A470" t="str">
            <v>Пасынский Алексей Александрович</v>
          </cell>
          <cell r="B470" t="str">
            <v>770302887079</v>
          </cell>
          <cell r="C470"/>
        </row>
        <row r="471">
          <cell r="A471" t="str">
            <v>Пенкин Кирилл Александрович</v>
          </cell>
          <cell r="B471" t="str">
            <v>591501619901</v>
          </cell>
          <cell r="C471"/>
        </row>
        <row r="472">
          <cell r="A472" t="str">
            <v>Перьков Кирилл Игоревич</v>
          </cell>
          <cell r="B472" t="str">
            <v>503621014990</v>
          </cell>
          <cell r="C472"/>
        </row>
        <row r="473">
          <cell r="A473" t="str">
            <v>Петрищева Екатерина Сергеевна</v>
          </cell>
          <cell r="B473" t="str">
            <v>505399227837</v>
          </cell>
          <cell r="C473"/>
        </row>
        <row r="474">
          <cell r="A474" t="str">
            <v>Петров Василий Алексеевич</v>
          </cell>
          <cell r="B474" t="str">
            <v>504106803440</v>
          </cell>
          <cell r="C474"/>
        </row>
        <row r="475">
          <cell r="A475" t="str">
            <v>Петрович Юлия Александровна</v>
          </cell>
          <cell r="B475" t="str">
            <v>501603073910</v>
          </cell>
          <cell r="C475"/>
        </row>
        <row r="476">
          <cell r="A476" t="str">
            <v>Пилипенко Екатерина Сергеевна</v>
          </cell>
          <cell r="B476" t="str">
            <v>745314321778</v>
          </cell>
          <cell r="C476"/>
        </row>
        <row r="477">
          <cell r="A477" t="str">
            <v>Пионтковский Александр Русланович</v>
          </cell>
          <cell r="B477" t="str">
            <v>231520972030</v>
          </cell>
          <cell r="C477"/>
        </row>
        <row r="478">
          <cell r="A478" t="str">
            <v>Писаный Денис Александрович</v>
          </cell>
          <cell r="B478" t="str">
            <v>614346624940</v>
          </cell>
          <cell r="C478"/>
        </row>
        <row r="479">
          <cell r="A479" t="str">
            <v>Пищулина Анна Сергеевна</v>
          </cell>
          <cell r="B479" t="str">
            <v>745113166233</v>
          </cell>
          <cell r="C479"/>
        </row>
        <row r="480">
          <cell r="A480" t="str">
            <v>Плаксенко Игорь Геннадьевич</v>
          </cell>
          <cell r="B480" t="str">
            <v>772331259308</v>
          </cell>
          <cell r="C480"/>
        </row>
        <row r="481">
          <cell r="A481" t="str">
            <v>Повесьма Екатерина Станиславовна</v>
          </cell>
          <cell r="B481" t="str">
            <v>503010180104</v>
          </cell>
          <cell r="C481"/>
        </row>
        <row r="482">
          <cell r="A482" t="str">
            <v>Погосян Эрик Гарегинович</v>
          </cell>
          <cell r="B482" t="str">
            <v>262520870287</v>
          </cell>
          <cell r="C482"/>
        </row>
        <row r="483">
          <cell r="A483" t="str">
            <v>Подрубаев Андрей Борисович</v>
          </cell>
          <cell r="B483" t="str">
            <v>773116037538</v>
          </cell>
          <cell r="C483"/>
        </row>
        <row r="484">
          <cell r="A484" t="str">
            <v>Пожилов Антон Владимирович</v>
          </cell>
          <cell r="B484" t="str">
            <v>672604797175</v>
          </cell>
          <cell r="C484"/>
        </row>
        <row r="485">
          <cell r="A485" t="str">
            <v>Полищученко Владислав Анатольевич</v>
          </cell>
          <cell r="B485" t="str">
            <v>575306392458</v>
          </cell>
          <cell r="C485"/>
        </row>
        <row r="486">
          <cell r="A486" t="str">
            <v>Пологойко Максим Дмитриевич</v>
          </cell>
          <cell r="B486" t="str">
            <v>771411534163</v>
          </cell>
          <cell r="C486"/>
        </row>
        <row r="487">
          <cell r="A487" t="str">
            <v>Полосина Дарья Денисовна</v>
          </cell>
          <cell r="B487" t="str">
            <v>774346382989</v>
          </cell>
          <cell r="C487"/>
        </row>
        <row r="488">
          <cell r="A488" t="str">
            <v>Полторак Александр Андреевич</v>
          </cell>
          <cell r="B488" t="str">
            <v>502986679906</v>
          </cell>
          <cell r="C488"/>
        </row>
        <row r="489">
          <cell r="A489" t="str">
            <v>Поляков Александр Евгеньевич</v>
          </cell>
          <cell r="B489" t="str">
            <v>772400339525</v>
          </cell>
          <cell r="C489"/>
        </row>
        <row r="490">
          <cell r="A490" t="str">
            <v>Поляков Егор Андреевич</v>
          </cell>
          <cell r="B490" t="str">
            <v>504017787605</v>
          </cell>
          <cell r="C490"/>
        </row>
        <row r="491">
          <cell r="A491" t="str">
            <v>Помогаев Роман Витальевич</v>
          </cell>
          <cell r="B491" t="str">
            <v>301514599022</v>
          </cell>
          <cell r="C491"/>
        </row>
        <row r="492">
          <cell r="A492" t="str">
            <v>Пономаренко Сергей Александрович</v>
          </cell>
          <cell r="B492" t="str">
            <v>344407771223</v>
          </cell>
          <cell r="C492"/>
        </row>
        <row r="493">
          <cell r="A493" t="str">
            <v>Попов Вадим Александрович</v>
          </cell>
          <cell r="B493" t="str">
            <v>381504413826</v>
          </cell>
          <cell r="C493"/>
        </row>
        <row r="494">
          <cell r="A494" t="str">
            <v>Попова Юлия Александровна</v>
          </cell>
          <cell r="B494" t="str">
            <v>503611992735</v>
          </cell>
          <cell r="C494"/>
        </row>
        <row r="495">
          <cell r="A495" t="str">
            <v>Поскакалова Дарья Кирилловна</v>
          </cell>
          <cell r="B495" t="str">
            <v>773423891861</v>
          </cell>
          <cell r="C495"/>
        </row>
        <row r="496">
          <cell r="A496" t="str">
            <v>Приходько Анастасия Юрьевна</v>
          </cell>
          <cell r="B496" t="str">
            <v>323103337404</v>
          </cell>
          <cell r="C496"/>
        </row>
        <row r="497">
          <cell r="A497" t="str">
            <v>Прозорова Виктория Сергеевна</v>
          </cell>
          <cell r="B497" t="str">
            <v>772207263490</v>
          </cell>
          <cell r="C497"/>
        </row>
        <row r="498">
          <cell r="A498" t="str">
            <v>Проказина Татьяна Александровна</v>
          </cell>
          <cell r="B498" t="str">
            <v>771598446610</v>
          </cell>
          <cell r="C498"/>
        </row>
        <row r="499">
          <cell r="A499" t="str">
            <v>Прокопенков Александр Владимирович</v>
          </cell>
          <cell r="B499" t="str">
            <v>770507568193</v>
          </cell>
          <cell r="C499"/>
        </row>
        <row r="500">
          <cell r="A500" t="str">
            <v>Прунцев Глеб Олегович</v>
          </cell>
          <cell r="B500" t="str">
            <v>771684379051</v>
          </cell>
          <cell r="C500"/>
        </row>
        <row r="501">
          <cell r="A501" t="str">
            <v>Путинцева Ольга Валериевна</v>
          </cell>
          <cell r="B501" t="str">
            <v>233706944321</v>
          </cell>
          <cell r="C501"/>
        </row>
        <row r="502">
          <cell r="A502" t="str">
            <v>Пушкарев Арсений Георгиевич</v>
          </cell>
          <cell r="B502" t="str">
            <v>500711053540</v>
          </cell>
          <cell r="C502"/>
        </row>
        <row r="503">
          <cell r="A503" t="str">
            <v>Пылаев Павел Дмитриевич</v>
          </cell>
          <cell r="B503" t="str">
            <v>772993189331</v>
          </cell>
          <cell r="C503"/>
        </row>
        <row r="504">
          <cell r="A504" t="str">
            <v>Ранько Андрей Сергеевич</v>
          </cell>
          <cell r="B504" t="str">
            <v>773615303312</v>
          </cell>
          <cell r="C504"/>
        </row>
        <row r="505">
          <cell r="A505" t="str">
            <v>Расулов Дилшад Дилмурадович</v>
          </cell>
          <cell r="B505" t="str">
            <v>500915174052</v>
          </cell>
          <cell r="C505"/>
        </row>
        <row r="506">
          <cell r="A506" t="str">
            <v>Ребрун Руслан Иванович</v>
          </cell>
          <cell r="B506" t="str">
            <v>311512709702</v>
          </cell>
          <cell r="C506"/>
        </row>
        <row r="507">
          <cell r="A507" t="str">
            <v>Рейникова Татьяна Александровна</v>
          </cell>
          <cell r="B507" t="str">
            <v>502910215196</v>
          </cell>
          <cell r="C507"/>
        </row>
        <row r="508">
          <cell r="A508" t="str">
            <v>Родионова Полина Максимовна</v>
          </cell>
          <cell r="B508" t="str">
            <v>507806304360</v>
          </cell>
          <cell r="C508"/>
        </row>
        <row r="509">
          <cell r="A509" t="str">
            <v>Романов Виктор Вячеславович</v>
          </cell>
          <cell r="B509" t="str">
            <v>772389576505</v>
          </cell>
          <cell r="C509"/>
        </row>
        <row r="510">
          <cell r="A510" t="str">
            <v>Ростова Валерия Олеговна</v>
          </cell>
          <cell r="B510" t="str">
            <v>645324970507</v>
          </cell>
          <cell r="C510"/>
        </row>
        <row r="511">
          <cell r="A511" t="str">
            <v>Рощупкин Вячеслав Николаевич</v>
          </cell>
          <cell r="B511" t="str">
            <v>773211517534</v>
          </cell>
          <cell r="C511"/>
        </row>
        <row r="512">
          <cell r="A512" t="str">
            <v>Рубан Дмитрий Алексеевич</v>
          </cell>
          <cell r="B512" t="str">
            <v>612103861350</v>
          </cell>
          <cell r="C512"/>
        </row>
        <row r="513">
          <cell r="A513" t="str">
            <v>Русаков Игорь Алексеевич</v>
          </cell>
          <cell r="B513" t="str">
            <v>400406392617</v>
          </cell>
          <cell r="C513"/>
        </row>
        <row r="514">
          <cell r="A514" t="str">
            <v>Русаков Никита Вадимович</v>
          </cell>
          <cell r="B514" t="str">
            <v>366519163082</v>
          </cell>
          <cell r="C514"/>
        </row>
        <row r="515">
          <cell r="A515" t="str">
            <v>Рустанович Анна Павловна</v>
          </cell>
          <cell r="B515" t="str">
            <v>772831714107</v>
          </cell>
          <cell r="C515"/>
        </row>
        <row r="516">
          <cell r="A516" t="str">
            <v>Рязанов Андрей Алексеевич</v>
          </cell>
          <cell r="B516" t="str">
            <v>772773482905</v>
          </cell>
          <cell r="C516"/>
        </row>
        <row r="517">
          <cell r="A517" t="str">
            <v>Сабирова Гавхорой Шавкатовна</v>
          </cell>
          <cell r="B517" t="str">
            <v>772424653628</v>
          </cell>
          <cell r="C517"/>
        </row>
        <row r="518">
          <cell r="A518" t="str">
            <v>Савина Екатерина Алексеевна</v>
          </cell>
          <cell r="B518" t="str">
            <v>771921106905</v>
          </cell>
          <cell r="C518"/>
        </row>
        <row r="519">
          <cell r="A519" t="str">
            <v>Саданова Дарья Александровна</v>
          </cell>
          <cell r="B519" t="str">
            <v>263607515289</v>
          </cell>
          <cell r="C519"/>
        </row>
        <row r="520">
          <cell r="A520" t="str">
            <v>Садеев Вагиз Альбертович</v>
          </cell>
          <cell r="B520" t="str">
            <v>212422425896</v>
          </cell>
          <cell r="C520"/>
        </row>
        <row r="521">
          <cell r="A521" t="str">
            <v>Саетова Кира Рамилевна</v>
          </cell>
          <cell r="B521" t="str">
            <v>482561415790</v>
          </cell>
          <cell r="C521"/>
        </row>
        <row r="522">
          <cell r="A522" t="str">
            <v>Сакиркина Мария Александровна</v>
          </cell>
          <cell r="B522" t="str">
            <v>081409878710</v>
          </cell>
          <cell r="C522"/>
        </row>
        <row r="523">
          <cell r="A523" t="str">
            <v>Салихова Маргарита Сергеевна</v>
          </cell>
          <cell r="B523" t="str">
            <v>110316799903</v>
          </cell>
          <cell r="C523"/>
        </row>
        <row r="524">
          <cell r="A524" t="str">
            <v>Самохин Максим Витальевич</v>
          </cell>
          <cell r="B524" t="str">
            <v>710311583865</v>
          </cell>
          <cell r="C524"/>
        </row>
        <row r="525">
          <cell r="A525" t="str">
            <v>Санникова Александра Сергеевна</v>
          </cell>
          <cell r="B525" t="str">
            <v>027618644300</v>
          </cell>
          <cell r="C525"/>
        </row>
        <row r="526">
          <cell r="A526" t="str">
            <v>Саркисов Олег Михайлович</v>
          </cell>
          <cell r="B526" t="str">
            <v>500308556933</v>
          </cell>
          <cell r="C526"/>
        </row>
        <row r="527">
          <cell r="A527" t="str">
            <v>Сафронова Дарья Алексеевна</v>
          </cell>
          <cell r="B527" t="str">
            <v>525110145068</v>
          </cell>
          <cell r="C527"/>
        </row>
        <row r="528">
          <cell r="A528" t="str">
            <v>Сафронова Ирина Викторовна</v>
          </cell>
          <cell r="B528" t="str">
            <v>772703667010</v>
          </cell>
          <cell r="C528"/>
        </row>
        <row r="529">
          <cell r="A529" t="str">
            <v>Светланова Татьяна Васильевна</v>
          </cell>
          <cell r="B529" t="str">
            <v>771804164685</v>
          </cell>
          <cell r="C529"/>
        </row>
        <row r="530">
          <cell r="A530" t="str">
            <v>Свириденков Владимир Эдуардович</v>
          </cell>
          <cell r="B530" t="str">
            <v>504602439283</v>
          </cell>
          <cell r="C530"/>
        </row>
        <row r="531">
          <cell r="A531" t="str">
            <v>Седых Роман Кириллович</v>
          </cell>
          <cell r="B531" t="str">
            <v>772322138314</v>
          </cell>
          <cell r="C531"/>
        </row>
        <row r="532">
          <cell r="A532" t="str">
            <v>Селезнева Анастасия Сергеевна</v>
          </cell>
          <cell r="B532" t="str">
            <v>503818819350</v>
          </cell>
          <cell r="C532"/>
        </row>
        <row r="533">
          <cell r="A533" t="str">
            <v>Селезнёва Анна Николаевна</v>
          </cell>
          <cell r="B533" t="str">
            <v>590612658608</v>
          </cell>
          <cell r="C533"/>
        </row>
        <row r="534">
          <cell r="A534" t="str">
            <v>Семенихин Константин Сергеевич</v>
          </cell>
          <cell r="B534" t="str">
            <v>331107734243</v>
          </cell>
          <cell r="C534"/>
        </row>
        <row r="535">
          <cell r="A535" t="str">
            <v>Семенов Александр Дмитриевич</v>
          </cell>
          <cell r="B535" t="str">
            <v>753608700500</v>
          </cell>
          <cell r="C535"/>
        </row>
        <row r="536">
          <cell r="A536" t="str">
            <v>Семенов Станислав Андреевич</v>
          </cell>
          <cell r="B536" t="str">
            <v>771594723006</v>
          </cell>
          <cell r="C536"/>
        </row>
        <row r="537">
          <cell r="A537" t="str">
            <v>Сенин Андрей Сергеевич</v>
          </cell>
          <cell r="B537" t="str">
            <v>575309432130</v>
          </cell>
          <cell r="C537"/>
        </row>
        <row r="538">
          <cell r="A538" t="str">
            <v>Сенькин Евгений Алексеевич</v>
          </cell>
          <cell r="B538" t="str">
            <v>560404949124</v>
          </cell>
          <cell r="C538"/>
        </row>
        <row r="539">
          <cell r="A539" t="str">
            <v>Сергеев Дмитрий Владимирович</v>
          </cell>
          <cell r="B539" t="str">
            <v>710708777304</v>
          </cell>
          <cell r="C539"/>
        </row>
        <row r="540">
          <cell r="A540" t="str">
            <v>Серкин Матвей Валерьевич</v>
          </cell>
          <cell r="B540" t="str">
            <v>760406759290</v>
          </cell>
          <cell r="C540"/>
        </row>
        <row r="541">
          <cell r="A541" t="str">
            <v>Сигайлов Иван Иванович</v>
          </cell>
          <cell r="B541" t="str">
            <v>771576263540</v>
          </cell>
          <cell r="C541"/>
        </row>
        <row r="542">
          <cell r="A542" t="str">
            <v>Сигалова Мария Витальевна</v>
          </cell>
          <cell r="B542" t="str">
            <v>402577321465</v>
          </cell>
          <cell r="C542"/>
        </row>
        <row r="543">
          <cell r="A543" t="str">
            <v>Сидоров Артур Валерьевич</v>
          </cell>
          <cell r="B543" t="str">
            <v>213011972990</v>
          </cell>
          <cell r="C543"/>
        </row>
        <row r="544">
          <cell r="A544" t="str">
            <v>Сильченкова Ангелина Владимировна</v>
          </cell>
          <cell r="B544" t="str">
            <v>463240687991</v>
          </cell>
          <cell r="C544"/>
        </row>
        <row r="545">
          <cell r="A545" t="str">
            <v>Синяк Никита Сергеевич</v>
          </cell>
          <cell r="B545" t="str">
            <v>760211361109</v>
          </cell>
          <cell r="C545"/>
        </row>
        <row r="546">
          <cell r="A546" t="str">
            <v>Слетнева Юлия Александровна</v>
          </cell>
          <cell r="B546" t="str">
            <v>561770351548</v>
          </cell>
          <cell r="C546"/>
        </row>
        <row r="547">
          <cell r="A547" t="str">
            <v>Словесный Александр Павлович</v>
          </cell>
          <cell r="B547" t="str">
            <v>502417404691</v>
          </cell>
          <cell r="C547"/>
        </row>
        <row r="548">
          <cell r="A548" t="str">
            <v>Слученкова Галина Юрьевна</v>
          </cell>
          <cell r="B548" t="str">
            <v>772832247293</v>
          </cell>
          <cell r="C548"/>
        </row>
        <row r="549">
          <cell r="A549" t="str">
            <v>Слюсарева Наталья Владимировна</v>
          </cell>
          <cell r="B549" t="str">
            <v>503022736308</v>
          </cell>
          <cell r="C549"/>
        </row>
        <row r="550">
          <cell r="A550" t="str">
            <v>Смбатян Эльвира Тиграновна</v>
          </cell>
          <cell r="B550" t="str">
            <v>771319181050</v>
          </cell>
          <cell r="C550"/>
        </row>
        <row r="551">
          <cell r="A551" t="str">
            <v>Смердов Максим Анатольевич</v>
          </cell>
          <cell r="B551" t="str">
            <v>434549671421</v>
          </cell>
          <cell r="C551"/>
        </row>
        <row r="552">
          <cell r="A552" t="str">
            <v>Соколова Анна Алексеевна</v>
          </cell>
          <cell r="B552" t="str">
            <v>143538001189</v>
          </cell>
          <cell r="C552"/>
        </row>
        <row r="553">
          <cell r="A553" t="str">
            <v>Соколова Галина Григорьевна</v>
          </cell>
          <cell r="B553" t="str">
            <v>773503572444</v>
          </cell>
          <cell r="C553"/>
        </row>
        <row r="554">
          <cell r="A554" t="str">
            <v>Сокольников Андрей Алексеевич</v>
          </cell>
          <cell r="B554" t="str">
            <v>500308336751</v>
          </cell>
          <cell r="C554"/>
        </row>
        <row r="555">
          <cell r="A555" t="str">
            <v>Солдатова Мария Дмитриевна</v>
          </cell>
          <cell r="B555" t="str">
            <v>771376672400</v>
          </cell>
          <cell r="C555"/>
        </row>
        <row r="556">
          <cell r="A556" t="str">
            <v>Соловьева Дарья Андреевна</v>
          </cell>
          <cell r="B556" t="str">
            <v>772880888089</v>
          </cell>
          <cell r="C556"/>
        </row>
        <row r="557">
          <cell r="A557" t="str">
            <v>Соловьева Елизавета Александровна</v>
          </cell>
          <cell r="B557" t="str">
            <v>560707953539</v>
          </cell>
          <cell r="C557"/>
        </row>
        <row r="558">
          <cell r="A558" t="str">
            <v>Сорокина Виктория Валерьевна</v>
          </cell>
          <cell r="B558" t="str">
            <v>482618812650</v>
          </cell>
          <cell r="C558"/>
        </row>
        <row r="559">
          <cell r="A559" t="str">
            <v>Сорокина Мария Алексеевна</v>
          </cell>
          <cell r="B559" t="str">
            <v>772619820775</v>
          </cell>
          <cell r="C559"/>
        </row>
        <row r="560">
          <cell r="A560" t="str">
            <v>Сорокина Юлия Витальевна</v>
          </cell>
          <cell r="B560" t="str">
            <v>774336066007</v>
          </cell>
          <cell r="C560"/>
        </row>
        <row r="561">
          <cell r="A561" t="str">
            <v>Соснина Оксана Владимировна</v>
          </cell>
          <cell r="B561" t="str">
            <v>771599382462</v>
          </cell>
          <cell r="C561"/>
        </row>
        <row r="562">
          <cell r="A562" t="str">
            <v>Сперанская Алёна Юльевна</v>
          </cell>
          <cell r="B562" t="str">
            <v>330574446613</v>
          </cell>
          <cell r="C562"/>
        </row>
        <row r="563">
          <cell r="A563" t="str">
            <v>Сперанский Алексей Алексеевич</v>
          </cell>
          <cell r="B563" t="str">
            <v>772882115084</v>
          </cell>
          <cell r="C563"/>
        </row>
        <row r="564">
          <cell r="A564" t="str">
            <v>Стекленев Антон Юрьевич</v>
          </cell>
          <cell r="B564" t="str">
            <v>550307062676</v>
          </cell>
          <cell r="C564"/>
        </row>
        <row r="565">
          <cell r="A565" t="str">
            <v>Степчков Дмитрий Алексеевич</v>
          </cell>
          <cell r="B565" t="str">
            <v>771880820875</v>
          </cell>
          <cell r="C565"/>
        </row>
        <row r="566">
          <cell r="A566" t="str">
            <v>Стрелкова Елизавета Сергеевна</v>
          </cell>
          <cell r="B566" t="str">
            <v>440500462754</v>
          </cell>
          <cell r="C566"/>
        </row>
        <row r="567">
          <cell r="A567" t="str">
            <v>Стрелкова Наталья Сергеевна</v>
          </cell>
          <cell r="B567" t="str">
            <v>324902034655</v>
          </cell>
          <cell r="C567"/>
        </row>
        <row r="568">
          <cell r="A568" t="str">
            <v>Субботина Анна Сергеевна</v>
          </cell>
          <cell r="B568" t="str">
            <v>231519918021</v>
          </cell>
          <cell r="C568"/>
        </row>
        <row r="569">
          <cell r="A569" t="str">
            <v>Суравикин Денис Алексеевич</v>
          </cell>
          <cell r="B569" t="str">
            <v>501602831015</v>
          </cell>
          <cell r="C569"/>
        </row>
        <row r="570">
          <cell r="A570" t="str">
            <v>Суслин Данила Михайлович</v>
          </cell>
          <cell r="B570" t="str">
            <v>500516091069</v>
          </cell>
          <cell r="C570"/>
        </row>
        <row r="571">
          <cell r="A571" t="str">
            <v>Сухих Александр Николаевич</v>
          </cell>
          <cell r="B571" t="str">
            <v>381205129101</v>
          </cell>
          <cell r="C571"/>
        </row>
        <row r="572">
          <cell r="A572" t="str">
            <v>Сухов Александр Александрович</v>
          </cell>
          <cell r="B572" t="str">
            <v>772169035170</v>
          </cell>
          <cell r="C572"/>
        </row>
        <row r="573">
          <cell r="A573" t="str">
            <v>Сушилина Наталья Алексеевна</v>
          </cell>
          <cell r="B573" t="str">
            <v>771670099463</v>
          </cell>
          <cell r="C573"/>
        </row>
        <row r="574">
          <cell r="A574" t="str">
            <v>Такташов Наиль Исмаилович</v>
          </cell>
          <cell r="B574" t="str">
            <v>772788804111</v>
          </cell>
          <cell r="C574"/>
        </row>
        <row r="575">
          <cell r="A575" t="str">
            <v>Танеев Никита Андреевич</v>
          </cell>
          <cell r="B575" t="str">
            <v>773323978798</v>
          </cell>
          <cell r="C575"/>
        </row>
        <row r="576">
          <cell r="A576" t="str">
            <v>Тарасова Ирина Васильевна</v>
          </cell>
          <cell r="B576" t="str">
            <v>502802504828</v>
          </cell>
          <cell r="C576"/>
        </row>
        <row r="577">
          <cell r="A577" t="str">
            <v>Тарченко Василий Игоревич</v>
          </cell>
          <cell r="B577" t="str">
            <v>401100999043</v>
          </cell>
          <cell r="C577"/>
        </row>
        <row r="578">
          <cell r="A578" t="str">
            <v>Твердохлеб Георгий Игоревич</v>
          </cell>
          <cell r="B578" t="str">
            <v>772494422208</v>
          </cell>
          <cell r="C578"/>
        </row>
        <row r="579">
          <cell r="A579" t="str">
            <v>Телегин Максим Михайлович</v>
          </cell>
          <cell r="B579" t="str">
            <v>773323867255</v>
          </cell>
          <cell r="C579"/>
        </row>
        <row r="580">
          <cell r="A580" t="str">
            <v>Темирова Елена Мухамедовна</v>
          </cell>
          <cell r="B580" t="str">
            <v>501603277826</v>
          </cell>
          <cell r="C580"/>
        </row>
        <row r="581">
          <cell r="A581" t="str">
            <v>Тен Ольга Сергеевна</v>
          </cell>
          <cell r="B581" t="str">
            <v>212305674874</v>
          </cell>
          <cell r="C581"/>
        </row>
        <row r="582">
          <cell r="A582" t="str">
            <v>Терехова Любовь Андреевна</v>
          </cell>
          <cell r="B582" t="str">
            <v>431207363154</v>
          </cell>
          <cell r="C582"/>
        </row>
        <row r="583">
          <cell r="A583" t="str">
            <v>Тимошенко Надежда Владимировна</v>
          </cell>
          <cell r="B583" t="str">
            <v>110201397926</v>
          </cell>
          <cell r="C583"/>
        </row>
        <row r="584">
          <cell r="A584" t="str">
            <v>Тимощук Данила Максимович</v>
          </cell>
          <cell r="B584" t="str">
            <v>920358230384</v>
          </cell>
          <cell r="C584"/>
        </row>
        <row r="585">
          <cell r="A585" t="str">
            <v>Титов Владимир Павлович</v>
          </cell>
          <cell r="B585" t="str">
            <v>860502580073</v>
          </cell>
          <cell r="C585"/>
        </row>
        <row r="586">
          <cell r="A586" t="str">
            <v>Титов Дмитрий Алексеевич</v>
          </cell>
          <cell r="B586" t="str">
            <v>771576750487</v>
          </cell>
          <cell r="C586"/>
        </row>
        <row r="587">
          <cell r="A587" t="str">
            <v>Тихомиров Дмитрий Игоревич</v>
          </cell>
          <cell r="B587" t="str">
            <v>772070510235</v>
          </cell>
          <cell r="C587"/>
        </row>
        <row r="588">
          <cell r="A588" t="str">
            <v>Тихомирова Марина Анатольевна</v>
          </cell>
          <cell r="B588" t="str">
            <v>772608045475</v>
          </cell>
          <cell r="C588"/>
        </row>
        <row r="589">
          <cell r="A589" t="str">
            <v>Тихоневич Алиса Михайловна</v>
          </cell>
          <cell r="B589" t="str">
            <v>771673958755</v>
          </cell>
          <cell r="C589"/>
        </row>
        <row r="590">
          <cell r="A590" t="str">
            <v>Тихонов Александр Алексеевич</v>
          </cell>
          <cell r="B590" t="str">
            <v>772086774160</v>
          </cell>
          <cell r="C590"/>
        </row>
        <row r="591">
          <cell r="A591" t="str">
            <v>Тихонов Вадим Олегович</v>
          </cell>
          <cell r="B591" t="str">
            <v>504793591543</v>
          </cell>
          <cell r="C591"/>
        </row>
        <row r="592">
          <cell r="A592" t="str">
            <v>Тишкин Станислав Олегович</v>
          </cell>
          <cell r="B592" t="str">
            <v>501711006005</v>
          </cell>
          <cell r="C592"/>
        </row>
        <row r="593">
          <cell r="A593" t="str">
            <v>Ткачева Кристина Игоревна</v>
          </cell>
          <cell r="B593" t="str">
            <v>772397217531</v>
          </cell>
          <cell r="C593"/>
        </row>
        <row r="594">
          <cell r="A594" t="str">
            <v>Ткачева Кристина Игоревна</v>
          </cell>
          <cell r="B594" t="str">
            <v>772397217531</v>
          </cell>
          <cell r="C594"/>
        </row>
        <row r="595">
          <cell r="A595" t="str">
            <v>Ткаченок Никита Артемович</v>
          </cell>
          <cell r="B595" t="str">
            <v>772826554401</v>
          </cell>
          <cell r="C595"/>
        </row>
        <row r="596">
          <cell r="A596" t="str">
            <v>Тоболь Владимир Дмитриевич</v>
          </cell>
          <cell r="B596" t="str">
            <v>771921473221</v>
          </cell>
          <cell r="C596"/>
        </row>
        <row r="597">
          <cell r="A597" t="str">
            <v>Толстова Валентина Владимировна</v>
          </cell>
          <cell r="B597" t="str">
            <v>773378874685</v>
          </cell>
          <cell r="C597"/>
        </row>
        <row r="598">
          <cell r="A598" t="str">
            <v>Трещев Владислав Дмитриевич</v>
          </cell>
          <cell r="B598" t="str">
            <v>711806478985</v>
          </cell>
          <cell r="C598"/>
        </row>
        <row r="599">
          <cell r="A599" t="str">
            <v>Трифонова Лидия Николаевна</v>
          </cell>
          <cell r="B599" t="str">
            <v>773613747496</v>
          </cell>
          <cell r="C599"/>
        </row>
        <row r="600">
          <cell r="A600" t="str">
            <v>Трифонова Марина Александровна</v>
          </cell>
          <cell r="B600" t="str">
            <v>770702379880</v>
          </cell>
          <cell r="C600"/>
        </row>
        <row r="601">
          <cell r="A601" t="str">
            <v>Трифонова Татьяна Александровна</v>
          </cell>
          <cell r="B601" t="str">
            <v>773382505056</v>
          </cell>
          <cell r="C601"/>
        </row>
        <row r="602">
          <cell r="A602" t="str">
            <v>Тришина Алена Геннадьевна</v>
          </cell>
          <cell r="B602" t="str">
            <v>504796182250</v>
          </cell>
          <cell r="C602"/>
        </row>
        <row r="603">
          <cell r="A603" t="str">
            <v>Трофимова Ольга Николаевна</v>
          </cell>
          <cell r="B603" t="str">
            <v>771517503302</v>
          </cell>
          <cell r="C603"/>
        </row>
        <row r="604">
          <cell r="A604" t="str">
            <v>Трошина Юлия Владимировна</v>
          </cell>
          <cell r="B604" t="str">
            <v>383403514589</v>
          </cell>
          <cell r="C604"/>
        </row>
        <row r="605">
          <cell r="A605" t="str">
            <v>Тупиков Виталий Олегович</v>
          </cell>
          <cell r="B605" t="str">
            <v>772792128723</v>
          </cell>
          <cell r="C605"/>
        </row>
        <row r="606">
          <cell r="A606" t="str">
            <v>Тюрин Антон Геннадиевич</v>
          </cell>
          <cell r="B606" t="str">
            <v>360903336431</v>
          </cell>
          <cell r="C606"/>
        </row>
        <row r="607">
          <cell r="A607" t="str">
            <v>Тютюнникова Елена Юрьевна</v>
          </cell>
          <cell r="B607" t="str">
            <v>771471197321</v>
          </cell>
          <cell r="C607"/>
        </row>
        <row r="608">
          <cell r="A608" t="str">
            <v>Устюжанин Владимир Леонидович</v>
          </cell>
          <cell r="B608" t="str">
            <v>772081875492</v>
          </cell>
          <cell r="C608"/>
        </row>
        <row r="609">
          <cell r="A609" t="str">
            <v>Уханов Алексей Олегович</v>
          </cell>
          <cell r="B609" t="str">
            <v>771708739098</v>
          </cell>
          <cell r="C609"/>
        </row>
        <row r="610">
          <cell r="A610" t="str">
            <v>Фатеев Владислав Андреевич</v>
          </cell>
          <cell r="B610" t="str">
            <v>771991830879</v>
          </cell>
          <cell r="C610"/>
        </row>
        <row r="611">
          <cell r="A611" t="str">
            <v>Фатеева Анна Михайловна</v>
          </cell>
          <cell r="B611" t="str">
            <v>773579333380</v>
          </cell>
          <cell r="C611"/>
        </row>
        <row r="612">
          <cell r="A612" t="str">
            <v>Фаустов Андрей Александрович</v>
          </cell>
          <cell r="B612" t="str">
            <v>702402105743</v>
          </cell>
          <cell r="C612"/>
        </row>
        <row r="613">
          <cell r="A613" t="str">
            <v>Федорова Евгения Вячеславовна</v>
          </cell>
          <cell r="B613" t="str">
            <v>027900845944</v>
          </cell>
          <cell r="C613"/>
        </row>
        <row r="614">
          <cell r="A614" t="str">
            <v>Федорова Ольга Сергеевна</v>
          </cell>
          <cell r="B614" t="str">
            <v>210404209120</v>
          </cell>
          <cell r="C614"/>
        </row>
        <row r="615">
          <cell r="A615" t="str">
            <v>Федотова Наталья Александровна</v>
          </cell>
          <cell r="B615" t="str">
            <v>771578126404</v>
          </cell>
          <cell r="C615"/>
        </row>
        <row r="616">
          <cell r="A616" t="str">
            <v>Федюнина Елена Юрьевна</v>
          </cell>
          <cell r="B616" t="str">
            <v>772001141932</v>
          </cell>
          <cell r="C616"/>
        </row>
        <row r="617">
          <cell r="A617" t="str">
            <v>Феоктистова Елизавета Сергеевна</v>
          </cell>
          <cell r="B617" t="str">
            <v>524610656936</v>
          </cell>
          <cell r="C617"/>
        </row>
        <row r="618">
          <cell r="A618" t="str">
            <v>Фефилов Григорий Вадимович</v>
          </cell>
          <cell r="B618" t="str">
            <v>773389119170</v>
          </cell>
          <cell r="C618"/>
        </row>
        <row r="619">
          <cell r="A619" t="str">
            <v>Филина Александра Дмитриевна</v>
          </cell>
          <cell r="B619" t="str">
            <v>771775404330</v>
          </cell>
          <cell r="C619"/>
        </row>
        <row r="620">
          <cell r="A620" t="str">
            <v>Филиппова Яна Вячеславна</v>
          </cell>
          <cell r="B620" t="str">
            <v>212406394376</v>
          </cell>
          <cell r="C620"/>
        </row>
        <row r="621">
          <cell r="A621" t="str">
            <v>Фирсова Анна Александровна</v>
          </cell>
          <cell r="B621" t="str">
            <v>772611505203</v>
          </cell>
          <cell r="C621"/>
        </row>
        <row r="622">
          <cell r="A622" t="str">
            <v>Фоменков Глеб Константинович</v>
          </cell>
          <cell r="B622" t="str">
            <v>245723699278</v>
          </cell>
          <cell r="C622"/>
        </row>
        <row r="623">
          <cell r="A623" t="str">
            <v>Фомичёва Елена Викторовна</v>
          </cell>
          <cell r="B623" t="str">
            <v>772863687368</v>
          </cell>
          <cell r="C623"/>
        </row>
        <row r="624">
          <cell r="A624" t="str">
            <v>Форостов Никита Олегович</v>
          </cell>
          <cell r="B624" t="str">
            <v>501214619851</v>
          </cell>
          <cell r="C624"/>
        </row>
        <row r="625">
          <cell r="A625" t="str">
            <v>Фошин Илья Валерьевич</v>
          </cell>
          <cell r="B625" t="str">
            <v>503615498735</v>
          </cell>
          <cell r="C625"/>
        </row>
        <row r="626">
          <cell r="A626" t="str">
            <v>Хабибуллин Адель Азатович</v>
          </cell>
          <cell r="B626" t="str">
            <v>026414424128</v>
          </cell>
          <cell r="C626"/>
        </row>
        <row r="627">
          <cell r="A627" t="str">
            <v>Хаитбаев Тимур Ойбекович</v>
          </cell>
          <cell r="B627" t="str">
            <v>770975730240</v>
          </cell>
          <cell r="C627"/>
        </row>
        <row r="628">
          <cell r="A628" t="str">
            <v>Хамзин Ринат Рафикович</v>
          </cell>
          <cell r="B628" t="str">
            <v>024204459515</v>
          </cell>
          <cell r="C628"/>
        </row>
        <row r="629">
          <cell r="A629" t="str">
            <v>Хамхоева Наталья Казбековна</v>
          </cell>
          <cell r="B629" t="str">
            <v>310260675793</v>
          </cell>
          <cell r="C629"/>
        </row>
        <row r="630">
          <cell r="A630" t="str">
            <v>Хапова Анжелика Александровна</v>
          </cell>
          <cell r="B630" t="str">
            <v>971300035630</v>
          </cell>
          <cell r="C630"/>
        </row>
        <row r="631">
          <cell r="A631" t="str">
            <v>Хасанов Денис Владимирович</v>
          </cell>
          <cell r="B631" t="str">
            <v>212707107900</v>
          </cell>
          <cell r="C631"/>
        </row>
        <row r="632">
          <cell r="A632" t="str">
            <v>Хаустов Олег Евгеньевич</v>
          </cell>
          <cell r="B632" t="str">
            <v>261000249473</v>
          </cell>
          <cell r="C632"/>
        </row>
        <row r="633">
          <cell r="A633" t="str">
            <v>Ходыкина Полина Александровна</v>
          </cell>
          <cell r="B633" t="str">
            <v>661403965520</v>
          </cell>
          <cell r="C633"/>
        </row>
        <row r="634">
          <cell r="A634" t="str">
            <v>Хорович Борис Григорьевич</v>
          </cell>
          <cell r="B634" t="str">
            <v>772504078860</v>
          </cell>
          <cell r="C634"/>
        </row>
        <row r="635">
          <cell r="A635" t="str">
            <v>Хромова Дарья Олеговна</v>
          </cell>
          <cell r="B635" t="str">
            <v>507704207689</v>
          </cell>
          <cell r="C635"/>
        </row>
        <row r="636">
          <cell r="A636" t="str">
            <v>Худоян Анна Азизовна</v>
          </cell>
          <cell r="B636" t="str">
            <v>563805968708</v>
          </cell>
          <cell r="C636"/>
        </row>
        <row r="637">
          <cell r="A637" t="str">
            <v>Цекоев Ипполит Артурович</v>
          </cell>
          <cell r="B637" t="str">
            <v>462005458975</v>
          </cell>
          <cell r="C637"/>
        </row>
        <row r="638">
          <cell r="A638" t="str">
            <v>Целиковский Ярослав Михайлович</v>
          </cell>
          <cell r="B638" t="str">
            <v>772349393544</v>
          </cell>
          <cell r="C638"/>
        </row>
        <row r="639">
          <cell r="A639" t="str">
            <v>Чадин Сергей Евгеньевич</v>
          </cell>
          <cell r="B639" t="str">
            <v>773001590922</v>
          </cell>
          <cell r="C639"/>
        </row>
        <row r="640">
          <cell r="A640" t="str">
            <v>Часовская Анастасия Сергеевна</v>
          </cell>
          <cell r="B640" t="str">
            <v>772303017794</v>
          </cell>
          <cell r="C640"/>
        </row>
        <row r="641">
          <cell r="A641" t="str">
            <v>Чекун Макар Андреевич</v>
          </cell>
          <cell r="B641" t="str">
            <v>771480091931</v>
          </cell>
          <cell r="C641"/>
        </row>
        <row r="642">
          <cell r="A642" t="str">
            <v>Челышков Игорь Михайлович</v>
          </cell>
          <cell r="B642" t="str">
            <v>502410774742</v>
          </cell>
          <cell r="C642"/>
        </row>
        <row r="643">
          <cell r="A643" t="str">
            <v>Чепурной Илья Владимирович</v>
          </cell>
          <cell r="B643" t="str">
            <v>771551336740</v>
          </cell>
          <cell r="C643"/>
        </row>
        <row r="644">
          <cell r="A644" t="str">
            <v>Черешнев Дмитрий Александрович</v>
          </cell>
          <cell r="B644" t="str">
            <v>507460775892</v>
          </cell>
          <cell r="C644"/>
        </row>
        <row r="645">
          <cell r="A645" t="str">
            <v>Черкасова Софья Владимировна</v>
          </cell>
          <cell r="B645" t="str">
            <v>231850448957</v>
          </cell>
          <cell r="C645"/>
        </row>
        <row r="646">
          <cell r="A646" t="str">
            <v>Черная Екатерина Борисовна</v>
          </cell>
          <cell r="B646" t="str">
            <v>501212684848</v>
          </cell>
          <cell r="C646"/>
        </row>
        <row r="647">
          <cell r="A647" t="str">
            <v>Чернецев Никита Сергеевич</v>
          </cell>
          <cell r="B647" t="str">
            <v>182811567951</v>
          </cell>
          <cell r="C647"/>
        </row>
        <row r="648">
          <cell r="A648" t="str">
            <v>Черникова Виктория Александровна</v>
          </cell>
          <cell r="B648" t="str">
            <v>481802300891</v>
          </cell>
          <cell r="C648"/>
        </row>
        <row r="649">
          <cell r="A649" t="str">
            <v>Чернобаев Глеб Павлович</v>
          </cell>
          <cell r="B649" t="str">
            <v>773670882220</v>
          </cell>
          <cell r="C649"/>
        </row>
        <row r="650">
          <cell r="A650" t="str">
            <v>Чернов Александр Игоревич</v>
          </cell>
          <cell r="B650" t="str">
            <v>501712270500</v>
          </cell>
          <cell r="C650"/>
        </row>
        <row r="651">
          <cell r="A651" t="str">
            <v>Черноусов Андрей Дмитриевич</v>
          </cell>
          <cell r="B651" t="str">
            <v>772622593755</v>
          </cell>
          <cell r="C651"/>
        </row>
        <row r="652">
          <cell r="A652" t="str">
            <v>Чесноков Дмитрий Евгеньевич</v>
          </cell>
          <cell r="B652" t="str">
            <v>280115209083</v>
          </cell>
          <cell r="C652"/>
        </row>
        <row r="653">
          <cell r="A653" t="str">
            <v>Чехов Семен Алексеевич</v>
          </cell>
          <cell r="B653" t="str">
            <v>772392800267</v>
          </cell>
          <cell r="C653"/>
        </row>
        <row r="654">
          <cell r="A654" t="str">
            <v>Чехова Елена Владимировна</v>
          </cell>
          <cell r="B654" t="str">
            <v>502728109272</v>
          </cell>
          <cell r="C654"/>
        </row>
        <row r="655">
          <cell r="A655" t="str">
            <v>Чечет Дмитрий Максимович</v>
          </cell>
          <cell r="B655" t="str">
            <v>032396241625</v>
          </cell>
          <cell r="C655"/>
        </row>
        <row r="656">
          <cell r="A656" t="str">
            <v>Чиграй Антон Анатольевич</v>
          </cell>
          <cell r="B656" t="str">
            <v>771375201021</v>
          </cell>
          <cell r="C656"/>
        </row>
        <row r="657">
          <cell r="A657" t="str">
            <v>Чиж Павел Валерьевич</v>
          </cell>
          <cell r="B657" t="str">
            <v>781018688439</v>
          </cell>
          <cell r="C657"/>
        </row>
        <row r="658">
          <cell r="A658" t="str">
            <v>Чикишева Дарья Сергеевна</v>
          </cell>
          <cell r="B658" t="str">
            <v>027815650052</v>
          </cell>
          <cell r="C658"/>
        </row>
        <row r="659">
          <cell r="A659" t="str">
            <v>Чиркина Мария Юрьевна</v>
          </cell>
          <cell r="B659" t="str">
            <v>644910557106</v>
          </cell>
          <cell r="C659"/>
        </row>
        <row r="660">
          <cell r="A660" t="str">
            <v>Чирко Павел Александрович</v>
          </cell>
          <cell r="B660" t="str">
            <v>770765078639</v>
          </cell>
          <cell r="C660"/>
        </row>
        <row r="661">
          <cell r="A661" t="str">
            <v>Шабайкин Руслан Умярович</v>
          </cell>
          <cell r="B661" t="str">
            <v>772351548178</v>
          </cell>
          <cell r="C661"/>
        </row>
        <row r="662">
          <cell r="A662" t="str">
            <v>Шабаршов Игорь Владимирович</v>
          </cell>
          <cell r="B662" t="str">
            <v>771989280723</v>
          </cell>
          <cell r="C662"/>
        </row>
        <row r="663">
          <cell r="A663" t="str">
            <v>Шабунина Марина Львовна</v>
          </cell>
          <cell r="B663" t="str">
            <v>773303868645</v>
          </cell>
          <cell r="C663"/>
        </row>
        <row r="664">
          <cell r="A664" t="str">
            <v>Шарай Юлий Николаевич</v>
          </cell>
          <cell r="B664" t="str">
            <v>237202875242</v>
          </cell>
          <cell r="C664"/>
        </row>
        <row r="665">
          <cell r="A665" t="str">
            <v>Шарапов Александр Михайлович</v>
          </cell>
          <cell r="B665" t="str">
            <v>645112271345</v>
          </cell>
          <cell r="C665"/>
        </row>
        <row r="666">
          <cell r="A666" t="str">
            <v>Шаталин Юрий Владимирович</v>
          </cell>
          <cell r="B666" t="str">
            <v>773125900888</v>
          </cell>
          <cell r="C666"/>
        </row>
        <row r="667">
          <cell r="A667" t="str">
            <v>Шахова Юлия Сергеевна</v>
          </cell>
          <cell r="B667" t="str">
            <v>773376984604</v>
          </cell>
          <cell r="C667"/>
        </row>
        <row r="668">
          <cell r="A668" t="str">
            <v>Шашков Дмитрий Сергеевич</v>
          </cell>
          <cell r="B668" t="str">
            <v>500111707110</v>
          </cell>
          <cell r="C668"/>
        </row>
        <row r="669">
          <cell r="A669" t="str">
            <v>Швырков Александр Сергеевич</v>
          </cell>
          <cell r="B669" t="str">
            <v>772161451805</v>
          </cell>
          <cell r="C669"/>
        </row>
        <row r="670">
          <cell r="A670" t="str">
            <v>Шевченко Илья Сергеевич</v>
          </cell>
          <cell r="B670" t="str">
            <v>511005937744</v>
          </cell>
          <cell r="C670"/>
        </row>
        <row r="671">
          <cell r="A671" t="str">
            <v>Шепелев Илья Геннадьевич</v>
          </cell>
          <cell r="B671" t="str">
            <v>610205342978</v>
          </cell>
          <cell r="C671"/>
        </row>
        <row r="672">
          <cell r="A672" t="str">
            <v>Шепилов Николай Андреевич</v>
          </cell>
          <cell r="B672" t="str">
            <v>470318060462</v>
          </cell>
          <cell r="C672"/>
        </row>
        <row r="673">
          <cell r="A673" t="str">
            <v>Шеркунов Александр Юрьевич</v>
          </cell>
          <cell r="B673" t="str">
            <v>772831664103</v>
          </cell>
          <cell r="C673"/>
        </row>
        <row r="674">
          <cell r="A674" t="str">
            <v>Шеховцова Анна Александровна</v>
          </cell>
          <cell r="B674" t="str">
            <v>771595222482</v>
          </cell>
          <cell r="C674"/>
        </row>
        <row r="675">
          <cell r="A675" t="str">
            <v>Шибаев Сергей Рафаилович</v>
          </cell>
          <cell r="B675" t="str">
            <v>771310644924</v>
          </cell>
          <cell r="C675"/>
        </row>
        <row r="676">
          <cell r="A676" t="str">
            <v>Шидлович Мария Ивановна</v>
          </cell>
          <cell r="B676" t="str">
            <v>502498899908</v>
          </cell>
          <cell r="C676"/>
        </row>
        <row r="677">
          <cell r="A677" t="str">
            <v>Ширинова Маргарита Сергеевна</v>
          </cell>
          <cell r="B677" t="str">
            <v>519098296566</v>
          </cell>
          <cell r="C677"/>
        </row>
        <row r="678">
          <cell r="A678" t="str">
            <v>Шитов Дмитрий Сергеевич</v>
          </cell>
          <cell r="B678" t="str">
            <v>772167963687</v>
          </cell>
          <cell r="C678"/>
        </row>
        <row r="679">
          <cell r="A679" t="str">
            <v>Шкарин Алексей Владимирович</v>
          </cell>
          <cell r="B679" t="str">
            <v>772871703126</v>
          </cell>
          <cell r="C679"/>
        </row>
        <row r="680">
          <cell r="A680" t="str">
            <v>Школьная Анна Сергеевна</v>
          </cell>
          <cell r="B680" t="str">
            <v>771588209890</v>
          </cell>
          <cell r="C680"/>
        </row>
        <row r="681">
          <cell r="A681" t="str">
            <v>Штатова Оксана Анатольевна</v>
          </cell>
          <cell r="B681" t="str">
            <v>623300587095</v>
          </cell>
          <cell r="C681"/>
        </row>
        <row r="682">
          <cell r="A682" t="str">
            <v>Шубин Егор Александрович</v>
          </cell>
          <cell r="B682" t="str">
            <v>772406878033</v>
          </cell>
          <cell r="C682"/>
        </row>
        <row r="683">
          <cell r="A683" t="str">
            <v>Шубина Дарья Сергеевна</v>
          </cell>
          <cell r="B683" t="str">
            <v>771596683743</v>
          </cell>
          <cell r="C683"/>
        </row>
        <row r="684">
          <cell r="A684" t="str">
            <v>Шубина Динара Абдулхаковна</v>
          </cell>
          <cell r="B684" t="str">
            <v>771375688020</v>
          </cell>
          <cell r="C684"/>
        </row>
        <row r="685">
          <cell r="A685" t="str">
            <v>Шугуров Михаил Александрович</v>
          </cell>
          <cell r="B685" t="str">
            <v>770700399225</v>
          </cell>
          <cell r="C685"/>
        </row>
        <row r="686">
          <cell r="A686" t="str">
            <v>Шумовский Сергей Николаевич</v>
          </cell>
          <cell r="B686" t="str">
            <v>501813064165</v>
          </cell>
          <cell r="C686"/>
        </row>
        <row r="687">
          <cell r="A687" t="str">
            <v>Шустов Иван Михайлович</v>
          </cell>
          <cell r="B687" t="str">
            <v>372701084870</v>
          </cell>
          <cell r="C687"/>
        </row>
        <row r="688">
          <cell r="A688" t="str">
            <v>Щедрин Николай Сергеевич</v>
          </cell>
          <cell r="B688" t="str">
            <v>760406072846</v>
          </cell>
          <cell r="C688"/>
        </row>
        <row r="689">
          <cell r="A689" t="str">
            <v>Юдин Лев Игоревич</v>
          </cell>
          <cell r="B689" t="str">
            <v>770301160241</v>
          </cell>
          <cell r="C689"/>
        </row>
        <row r="690">
          <cell r="A690" t="str">
            <v>Юдичев Александр Вячеславович</v>
          </cell>
          <cell r="B690" t="str">
            <v>772156429508</v>
          </cell>
          <cell r="C690"/>
        </row>
        <row r="691">
          <cell r="A691" t="str">
            <v>Юрьев Вадим Николаевич</v>
          </cell>
          <cell r="B691" t="str">
            <v>771471966880</v>
          </cell>
          <cell r="C691"/>
        </row>
        <row r="692">
          <cell r="A692" t="str">
            <v>Яблоков Павел Александрович</v>
          </cell>
          <cell r="B692" t="str">
            <v>772637486820</v>
          </cell>
          <cell r="C692"/>
        </row>
        <row r="693">
          <cell r="A693" t="str">
            <v>Якимов Максим Васильевич</v>
          </cell>
          <cell r="B693" t="str">
            <v>212414550879</v>
          </cell>
          <cell r="C693"/>
        </row>
        <row r="694">
          <cell r="A694" t="str">
            <v>Яковлев Максим Романович</v>
          </cell>
          <cell r="B694" t="str">
            <v>502505503518</v>
          </cell>
          <cell r="C694"/>
        </row>
        <row r="695">
          <cell r="A695" t="str">
            <v>Яковлев Максим Сергеевич</v>
          </cell>
          <cell r="B695" t="str">
            <v>772834085898</v>
          </cell>
          <cell r="C695"/>
        </row>
        <row r="696">
          <cell r="A696" t="str">
            <v>Яскин Александр Сергеевич</v>
          </cell>
          <cell r="B696" t="str">
            <v>773321715296</v>
          </cell>
          <cell r="C696"/>
        </row>
        <row r="697">
          <cell r="A697" t="str">
            <v>Яшин Иван Владимирович</v>
          </cell>
          <cell r="B697" t="str">
            <v>390103690577</v>
          </cell>
          <cell r="C697"/>
        </row>
      </sheetData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13"/>
  <sheetViews>
    <sheetView tabSelected="1" view="pageBreakPreview" topLeftCell="B1" zoomScale="70" zoomScaleNormal="60" zoomScaleSheetLayoutView="70" workbookViewId="0">
      <pane ySplit="1" topLeftCell="A696" activePane="bottomLeft" state="frozen"/>
      <selection activeCell="G1" activeCellId="1" sqref="G1 G1:G1048576"/>
      <selection pane="bottomLeft" activeCell="G690" sqref="G690"/>
    </sheetView>
  </sheetViews>
  <sheetFormatPr defaultColWidth="8.85546875" defaultRowHeight="14.25"/>
  <cols>
    <col min="1" max="1" width="38.7109375" style="25" hidden="1" customWidth="1"/>
    <col min="2" max="2" width="27.28515625" style="16" customWidth="1"/>
    <col min="3" max="3" width="29.5703125" style="16" customWidth="1"/>
    <col min="4" max="4" width="41.28515625" style="16" customWidth="1"/>
    <col min="5" max="5" width="39.42578125" style="25" customWidth="1"/>
    <col min="6" max="6" width="38.7109375" style="17" customWidth="1"/>
    <col min="7" max="7" width="38.7109375" style="25" customWidth="1"/>
    <col min="8" max="8" width="15.42578125" style="9" customWidth="1"/>
    <col min="9" max="9" width="21.7109375" style="39" customWidth="1"/>
    <col min="10" max="10" width="8.85546875" style="16"/>
    <col min="11" max="11" width="20.42578125" style="16" bestFit="1" customWidth="1"/>
    <col min="12" max="16384" width="8.85546875" style="16"/>
  </cols>
  <sheetData>
    <row r="1" spans="1:9" s="10" customFormat="1" ht="72.75" customHeight="1">
      <c r="A1" s="23" t="s">
        <v>4</v>
      </c>
      <c r="B1" s="4" t="s">
        <v>0</v>
      </c>
      <c r="C1" s="5" t="s">
        <v>1</v>
      </c>
      <c r="D1" s="1" t="s">
        <v>2</v>
      </c>
      <c r="E1" s="22" t="s">
        <v>3</v>
      </c>
      <c r="F1" s="3" t="s">
        <v>4</v>
      </c>
      <c r="G1" s="23" t="s">
        <v>952</v>
      </c>
      <c r="H1" s="2" t="s">
        <v>5</v>
      </c>
      <c r="I1" s="36"/>
    </row>
    <row r="2" spans="1:9" s="13" customFormat="1" ht="35.1" customHeight="1">
      <c r="A2" s="18" t="s">
        <v>575</v>
      </c>
      <c r="B2" s="11" t="s">
        <v>259</v>
      </c>
      <c r="C2" s="12" t="s">
        <v>259</v>
      </c>
      <c r="D2" s="6" t="s">
        <v>259</v>
      </c>
      <c r="E2" s="18" t="s">
        <v>710</v>
      </c>
      <c r="F2" s="6" t="s">
        <v>575</v>
      </c>
      <c r="G2" s="18" t="str">
        <f>+VLOOKUP(F2,[1]Лист_1!$A:$C,2,0)</f>
        <v>860502580073</v>
      </c>
      <c r="H2" s="8">
        <v>1</v>
      </c>
      <c r="I2" s="26"/>
    </row>
    <row r="3" spans="1:9" s="13" customFormat="1" ht="35.1" customHeight="1">
      <c r="A3" s="18" t="s">
        <v>571</v>
      </c>
      <c r="B3" s="11" t="s">
        <v>259</v>
      </c>
      <c r="C3" s="12" t="s">
        <v>259</v>
      </c>
      <c r="D3" s="6" t="s">
        <v>259</v>
      </c>
      <c r="E3" s="18" t="s">
        <v>711</v>
      </c>
      <c r="F3" s="6" t="s">
        <v>571</v>
      </c>
      <c r="G3" s="18" t="str">
        <f>+VLOOKUP(F3,[1]Лист_1!$A:$C,2,0)</f>
        <v>213002549315</v>
      </c>
      <c r="H3" s="8">
        <v>1</v>
      </c>
      <c r="I3" s="26"/>
    </row>
    <row r="4" spans="1:9" s="13" customFormat="1" ht="35.1" customHeight="1">
      <c r="A4" s="18" t="s">
        <v>573</v>
      </c>
      <c r="B4" s="11" t="s">
        <v>259</v>
      </c>
      <c r="C4" s="12" t="s">
        <v>259</v>
      </c>
      <c r="D4" s="6" t="s">
        <v>259</v>
      </c>
      <c r="E4" s="18" t="s">
        <v>712</v>
      </c>
      <c r="F4" s="6" t="s">
        <v>573</v>
      </c>
      <c r="G4" s="18" t="str">
        <f>+VLOOKUP(F4,[1]Лист_1!$A:$C,2,0)</f>
        <v>575306392458</v>
      </c>
      <c r="H4" s="8">
        <v>1</v>
      </c>
      <c r="I4" s="26"/>
    </row>
    <row r="5" spans="1:9" s="13" customFormat="1" ht="35.1" customHeight="1">
      <c r="A5" s="18" t="s">
        <v>569</v>
      </c>
      <c r="B5" s="11" t="s">
        <v>259</v>
      </c>
      <c r="C5" s="12" t="s">
        <v>259</v>
      </c>
      <c r="D5" s="6" t="s">
        <v>259</v>
      </c>
      <c r="E5" s="18" t="s">
        <v>712</v>
      </c>
      <c r="F5" s="6" t="s">
        <v>569</v>
      </c>
      <c r="G5" s="18" t="str">
        <f>+VLOOKUP(F5,[1]Лист_1!$A:$C,2,0)</f>
        <v>231518985850</v>
      </c>
      <c r="H5" s="8">
        <v>1</v>
      </c>
      <c r="I5" s="26"/>
    </row>
    <row r="6" spans="1:9" s="13" customFormat="1" ht="35.1" customHeight="1">
      <c r="A6" s="18" t="s">
        <v>570</v>
      </c>
      <c r="B6" s="11" t="s">
        <v>259</v>
      </c>
      <c r="C6" s="12" t="s">
        <v>259</v>
      </c>
      <c r="D6" s="6" t="s">
        <v>259</v>
      </c>
      <c r="E6" s="18" t="s">
        <v>712</v>
      </c>
      <c r="F6" s="6" t="s">
        <v>570</v>
      </c>
      <c r="G6" s="18" t="str">
        <f>+VLOOKUP(F6,[1]Лист_1!$A:$C,2,0)</f>
        <v>672205972178</v>
      </c>
      <c r="H6" s="8">
        <v>1</v>
      </c>
      <c r="I6" s="26"/>
    </row>
    <row r="7" spans="1:9" s="13" customFormat="1" ht="52.5" customHeight="1">
      <c r="A7" s="18" t="s">
        <v>563</v>
      </c>
      <c r="B7" s="11" t="s">
        <v>259</v>
      </c>
      <c r="C7" s="12" t="s">
        <v>259</v>
      </c>
      <c r="D7" s="6" t="s">
        <v>259</v>
      </c>
      <c r="E7" s="18" t="s">
        <v>713</v>
      </c>
      <c r="F7" s="6" t="s">
        <v>563</v>
      </c>
      <c r="G7" s="18" t="str">
        <f>+VLOOKUP(F7,[1]Лист_1!$A:$C,2,0)</f>
        <v>770507962337</v>
      </c>
      <c r="H7" s="8">
        <v>1</v>
      </c>
      <c r="I7" s="26"/>
    </row>
    <row r="8" spans="1:9" s="13" customFormat="1" ht="35.1" customHeight="1">
      <c r="A8" s="18" t="s">
        <v>568</v>
      </c>
      <c r="B8" s="11" t="s">
        <v>259</v>
      </c>
      <c r="C8" s="12" t="s">
        <v>259</v>
      </c>
      <c r="D8" s="6" t="s">
        <v>259</v>
      </c>
      <c r="E8" s="18" t="s">
        <v>602</v>
      </c>
      <c r="F8" s="6" t="s">
        <v>568</v>
      </c>
      <c r="G8" s="18" t="str">
        <f>+VLOOKUP(F8,[1]Лист_1!$A:$C,2,0)</f>
        <v>771902605095</v>
      </c>
      <c r="H8" s="8">
        <v>1</v>
      </c>
      <c r="I8" s="26"/>
    </row>
    <row r="9" spans="1:9" s="13" customFormat="1" ht="35.1" customHeight="1">
      <c r="A9" s="18" t="s">
        <v>565</v>
      </c>
      <c r="B9" s="11" t="s">
        <v>259</v>
      </c>
      <c r="C9" s="12" t="s">
        <v>259</v>
      </c>
      <c r="D9" s="6" t="s">
        <v>259</v>
      </c>
      <c r="E9" s="18" t="s">
        <v>603</v>
      </c>
      <c r="F9" s="6" t="s">
        <v>565</v>
      </c>
      <c r="G9" s="18" t="str">
        <f>+VLOOKUP(F9,[1]Лист_1!$A:$C,2,0)</f>
        <v>772835122694</v>
      </c>
      <c r="H9" s="8">
        <v>1</v>
      </c>
      <c r="I9" s="26"/>
    </row>
    <row r="10" spans="1:9" s="13" customFormat="1" ht="35.1" customHeight="1">
      <c r="A10" s="18" t="s">
        <v>566</v>
      </c>
      <c r="B10" s="11" t="s">
        <v>259</v>
      </c>
      <c r="C10" s="12" t="s">
        <v>259</v>
      </c>
      <c r="D10" s="6" t="s">
        <v>259</v>
      </c>
      <c r="E10" s="18" t="s">
        <v>260</v>
      </c>
      <c r="F10" s="6" t="s">
        <v>566</v>
      </c>
      <c r="G10" s="18" t="str">
        <f>+VLOOKUP(F10,[1]Лист_1!$A:$C,2,0)</f>
        <v>504026087462</v>
      </c>
      <c r="H10" s="8">
        <v>1</v>
      </c>
      <c r="I10" s="26"/>
    </row>
    <row r="11" spans="1:9" s="13" customFormat="1" ht="35.1" customHeight="1">
      <c r="A11" s="18" t="s">
        <v>572</v>
      </c>
      <c r="B11" s="11" t="s">
        <v>259</v>
      </c>
      <c r="C11" s="12" t="s">
        <v>259</v>
      </c>
      <c r="D11" s="6" t="s">
        <v>259</v>
      </c>
      <c r="E11" s="18" t="s">
        <v>605</v>
      </c>
      <c r="F11" s="6" t="s">
        <v>572</v>
      </c>
      <c r="G11" s="18" t="str">
        <f>+VLOOKUP(F11,[1]Лист_1!$A:$C,2,0)</f>
        <v>862201308007</v>
      </c>
      <c r="H11" s="8">
        <v>1</v>
      </c>
      <c r="I11" s="26"/>
    </row>
    <row r="12" spans="1:9" s="13" customFormat="1" ht="35.1" customHeight="1">
      <c r="A12" s="18" t="s">
        <v>567</v>
      </c>
      <c r="B12" s="11" t="s">
        <v>259</v>
      </c>
      <c r="C12" s="12" t="s">
        <v>259</v>
      </c>
      <c r="D12" s="6" t="s">
        <v>259</v>
      </c>
      <c r="E12" s="18" t="s">
        <v>714</v>
      </c>
      <c r="F12" s="6" t="s">
        <v>567</v>
      </c>
      <c r="G12" s="18" t="str">
        <f>+VLOOKUP(F12,[1]Лист_1!$A:$C,2,0)</f>
        <v>771596412912</v>
      </c>
      <c r="H12" s="8">
        <v>1</v>
      </c>
      <c r="I12" s="26"/>
    </row>
    <row r="13" spans="1:9" s="13" customFormat="1" ht="35.1" customHeight="1">
      <c r="A13" s="19" t="s">
        <v>66</v>
      </c>
      <c r="B13" s="11" t="s">
        <v>259</v>
      </c>
      <c r="C13" s="12" t="s">
        <v>259</v>
      </c>
      <c r="D13" s="6" t="s">
        <v>259</v>
      </c>
      <c r="E13" s="18" t="s">
        <v>604</v>
      </c>
      <c r="F13" s="28" t="s">
        <v>66</v>
      </c>
      <c r="G13" s="18"/>
      <c r="H13" s="8">
        <v>1</v>
      </c>
      <c r="I13" s="26"/>
    </row>
    <row r="14" spans="1:9" s="13" customFormat="1" ht="35.1" customHeight="1">
      <c r="A14" s="18" t="s">
        <v>852</v>
      </c>
      <c r="B14" s="11" t="s">
        <v>259</v>
      </c>
      <c r="C14" s="12" t="s">
        <v>968</v>
      </c>
      <c r="D14" s="6" t="s">
        <v>259</v>
      </c>
      <c r="E14" s="18" t="s">
        <v>604</v>
      </c>
      <c r="F14" s="6" t="s">
        <v>852</v>
      </c>
      <c r="G14" s="18" t="str">
        <f>+VLOOKUP(F14,[1]Лист_1!$A:$C,2,0)</f>
        <v>667479112755</v>
      </c>
      <c r="H14" s="8">
        <v>0.5</v>
      </c>
      <c r="I14" s="26"/>
    </row>
    <row r="15" spans="1:9" s="13" customFormat="1" ht="35.1" customHeight="1">
      <c r="A15" s="19" t="s">
        <v>66</v>
      </c>
      <c r="B15" s="11" t="s">
        <v>259</v>
      </c>
      <c r="C15" s="12" t="s">
        <v>259</v>
      </c>
      <c r="D15" s="6" t="s">
        <v>259</v>
      </c>
      <c r="E15" s="18" t="s">
        <v>604</v>
      </c>
      <c r="F15" s="28" t="s">
        <v>66</v>
      </c>
      <c r="G15" s="18"/>
      <c r="H15" s="8">
        <v>0.5</v>
      </c>
      <c r="I15" s="26"/>
    </row>
    <row r="16" spans="1:9" s="13" customFormat="1" ht="35.1" customHeight="1">
      <c r="A16" s="19" t="s">
        <v>25</v>
      </c>
      <c r="B16" s="11" t="s">
        <v>259</v>
      </c>
      <c r="C16" s="12" t="s">
        <v>259</v>
      </c>
      <c r="D16" s="6" t="s">
        <v>259</v>
      </c>
      <c r="E16" s="18" t="s">
        <v>604</v>
      </c>
      <c r="F16" s="28" t="s">
        <v>66</v>
      </c>
      <c r="G16" s="18"/>
      <c r="H16" s="8">
        <v>1</v>
      </c>
      <c r="I16" s="26"/>
    </row>
    <row r="17" spans="1:9" s="13" customFormat="1" ht="35.1" customHeight="1">
      <c r="A17" s="18" t="s">
        <v>564</v>
      </c>
      <c r="B17" s="11" t="s">
        <v>259</v>
      </c>
      <c r="C17" s="12" t="s">
        <v>56</v>
      </c>
      <c r="D17" s="6" t="s">
        <v>259</v>
      </c>
      <c r="E17" s="18" t="s">
        <v>604</v>
      </c>
      <c r="F17" s="6" t="s">
        <v>564</v>
      </c>
      <c r="G17" s="18" t="str">
        <f>+VLOOKUP(F17,[1]Лист_1!$A:$C,2,0)</f>
        <v>920451393954</v>
      </c>
      <c r="H17" s="8">
        <v>1</v>
      </c>
      <c r="I17" s="26"/>
    </row>
    <row r="18" spans="1:9" s="13" customFormat="1" ht="35.1" customHeight="1">
      <c r="C18" s="44"/>
      <c r="D18" s="44"/>
      <c r="E18" s="44"/>
      <c r="F18" s="51"/>
      <c r="G18" s="44"/>
      <c r="H18" s="14">
        <f>SUM(H2:H17)</f>
        <v>15</v>
      </c>
      <c r="I18" s="37"/>
    </row>
    <row r="19" spans="1:9" s="13" customFormat="1" ht="35.1" customHeight="1">
      <c r="A19" s="6" t="s">
        <v>57</v>
      </c>
      <c r="B19" s="11" t="s">
        <v>56</v>
      </c>
      <c r="C19" s="12" t="s">
        <v>56</v>
      </c>
      <c r="D19" s="6" t="s">
        <v>51</v>
      </c>
      <c r="E19" s="6" t="s">
        <v>52</v>
      </c>
      <c r="F19" s="6" t="s">
        <v>57</v>
      </c>
      <c r="G19" s="18" t="str">
        <f>+VLOOKUP(F19,[1]Лист_1!$A:$C,2,0)</f>
        <v>344407771223</v>
      </c>
      <c r="H19" s="8">
        <v>1</v>
      </c>
      <c r="I19" s="26"/>
    </row>
    <row r="20" spans="1:9" s="13" customFormat="1" ht="35.1" customHeight="1">
      <c r="A20" s="6" t="s">
        <v>58</v>
      </c>
      <c r="B20" s="11" t="s">
        <v>56</v>
      </c>
      <c r="C20" s="12" t="s">
        <v>56</v>
      </c>
      <c r="D20" s="6" t="s">
        <v>53</v>
      </c>
      <c r="E20" s="6" t="s">
        <v>14</v>
      </c>
      <c r="F20" s="6" t="s">
        <v>58</v>
      </c>
      <c r="G20" s="18" t="str">
        <f>+VLOOKUP(F20,[1]Лист_1!$A:$C,2,0)</f>
        <v>645112271345</v>
      </c>
      <c r="H20" s="8">
        <v>1</v>
      </c>
      <c r="I20" s="26"/>
    </row>
    <row r="21" spans="1:9" s="13" customFormat="1" ht="35.1" customHeight="1">
      <c r="A21" s="6" t="s">
        <v>59</v>
      </c>
      <c r="B21" s="11" t="s">
        <v>56</v>
      </c>
      <c r="C21" s="12" t="s">
        <v>56</v>
      </c>
      <c r="D21" s="6" t="s">
        <v>53</v>
      </c>
      <c r="E21" s="6" t="s">
        <v>15</v>
      </c>
      <c r="F21" s="28" t="s">
        <v>66</v>
      </c>
      <c r="G21" s="18"/>
      <c r="H21" s="8">
        <v>1</v>
      </c>
      <c r="I21" s="26"/>
    </row>
    <row r="22" spans="1:9" s="13" customFormat="1" ht="35.1" customHeight="1">
      <c r="A22" s="28" t="s">
        <v>66</v>
      </c>
      <c r="B22" s="11" t="s">
        <v>56</v>
      </c>
      <c r="C22" s="12" t="s">
        <v>56</v>
      </c>
      <c r="D22" s="6" t="s">
        <v>53</v>
      </c>
      <c r="E22" s="6" t="s">
        <v>54</v>
      </c>
      <c r="F22" s="28" t="s">
        <v>66</v>
      </c>
      <c r="G22" s="18"/>
      <c r="H22" s="8">
        <v>1</v>
      </c>
      <c r="I22" s="26"/>
    </row>
    <row r="23" spans="1:9" s="13" customFormat="1" ht="35.1" customHeight="1">
      <c r="A23" s="6" t="s">
        <v>60</v>
      </c>
      <c r="B23" s="11" t="s">
        <v>56</v>
      </c>
      <c r="C23" s="12" t="s">
        <v>56</v>
      </c>
      <c r="D23" s="6" t="s">
        <v>53</v>
      </c>
      <c r="E23" s="6" t="s">
        <v>55</v>
      </c>
      <c r="F23" s="6" t="s">
        <v>60</v>
      </c>
      <c r="G23" s="18" t="str">
        <f>+VLOOKUP(F23,[1]Лист_1!$A:$C,2,0)</f>
        <v>431207363154</v>
      </c>
      <c r="H23" s="8">
        <v>1</v>
      </c>
      <c r="I23" s="26"/>
    </row>
    <row r="24" spans="1:9" s="13" customFormat="1" ht="35.1" customHeight="1">
      <c r="A24" s="6" t="s">
        <v>64</v>
      </c>
      <c r="B24" s="11" t="s">
        <v>56</v>
      </c>
      <c r="C24" s="12" t="s">
        <v>56</v>
      </c>
      <c r="D24" s="6" t="s">
        <v>53</v>
      </c>
      <c r="E24" s="6" t="s">
        <v>55</v>
      </c>
      <c r="F24" s="6" t="s">
        <v>64</v>
      </c>
      <c r="G24" s="18" t="str">
        <f>+VLOOKUP(F24,[1]Лист_1!$A:$C,2,0)</f>
        <v>164906291910</v>
      </c>
      <c r="H24" s="8">
        <v>1</v>
      </c>
      <c r="I24" s="26"/>
    </row>
    <row r="25" spans="1:9" s="13" customFormat="1" ht="35.1" customHeight="1">
      <c r="A25" s="6" t="s">
        <v>640</v>
      </c>
      <c r="B25" s="11" t="s">
        <v>56</v>
      </c>
      <c r="C25" s="12" t="s">
        <v>56</v>
      </c>
      <c r="D25" s="6" t="s">
        <v>53</v>
      </c>
      <c r="E25" s="6" t="s">
        <v>55</v>
      </c>
      <c r="F25" s="6" t="s">
        <v>640</v>
      </c>
      <c r="G25" s="18" t="str">
        <f>+VLOOKUP(F25,[1]Лист_1!$A:$C,2,0)</f>
        <v>772394417701</v>
      </c>
      <c r="H25" s="8">
        <v>1</v>
      </c>
      <c r="I25" s="26"/>
    </row>
    <row r="26" spans="1:9" s="13" customFormat="1" ht="35.1" customHeight="1">
      <c r="A26" s="6" t="s">
        <v>78</v>
      </c>
      <c r="B26" s="11" t="s">
        <v>56</v>
      </c>
      <c r="C26" s="12" t="s">
        <v>56</v>
      </c>
      <c r="D26" s="6" t="s">
        <v>65</v>
      </c>
      <c r="E26" s="6" t="s">
        <v>14</v>
      </c>
      <c r="F26" s="6" t="s">
        <v>78</v>
      </c>
      <c r="G26" s="18" t="str">
        <f>+VLOOKUP(F26,[1]Лист_1!$A:$C,2,0)</f>
        <v>772019771460</v>
      </c>
      <c r="H26" s="8">
        <v>1</v>
      </c>
      <c r="I26" s="26"/>
    </row>
    <row r="27" spans="1:9" s="13" customFormat="1" ht="35.1" customHeight="1">
      <c r="A27" s="29" t="s">
        <v>660</v>
      </c>
      <c r="B27" s="11" t="s">
        <v>56</v>
      </c>
      <c r="C27" s="12" t="s">
        <v>56</v>
      </c>
      <c r="D27" s="6" t="s">
        <v>65</v>
      </c>
      <c r="E27" s="6" t="s">
        <v>54</v>
      </c>
      <c r="F27" s="29" t="s">
        <v>660</v>
      </c>
      <c r="G27" s="18" t="str">
        <f>+VLOOKUP(F27,[1]Лист_1!$A:$C,2,0)</f>
        <v>621103311986</v>
      </c>
      <c r="H27" s="8">
        <v>1</v>
      </c>
      <c r="I27" s="26"/>
    </row>
    <row r="28" spans="1:9" s="13" customFormat="1" ht="35.1" customHeight="1">
      <c r="A28" s="6" t="s">
        <v>80</v>
      </c>
      <c r="B28" s="11" t="s">
        <v>56</v>
      </c>
      <c r="C28" s="12" t="s">
        <v>56</v>
      </c>
      <c r="D28" s="6" t="s">
        <v>65</v>
      </c>
      <c r="E28" s="6" t="s">
        <v>55</v>
      </c>
      <c r="F28" s="6" t="s">
        <v>80</v>
      </c>
      <c r="G28" s="18" t="str">
        <f>+VLOOKUP(F28,[1]Лист_1!$A:$C,2,0)</f>
        <v>772033456710</v>
      </c>
      <c r="H28" s="8">
        <v>1</v>
      </c>
      <c r="I28" s="26"/>
    </row>
    <row r="29" spans="1:9" s="13" customFormat="1" ht="35.1" customHeight="1">
      <c r="A29" s="6" t="s">
        <v>79</v>
      </c>
      <c r="B29" s="11" t="s">
        <v>56</v>
      </c>
      <c r="C29" s="12" t="s">
        <v>56</v>
      </c>
      <c r="D29" s="6" t="s">
        <v>65</v>
      </c>
      <c r="E29" s="6" t="s">
        <v>55</v>
      </c>
      <c r="F29" s="6" t="s">
        <v>79</v>
      </c>
      <c r="G29" s="18" t="str">
        <f>+VLOOKUP(F29,[1]Лист_1!$A:$C,2,0)</f>
        <v>772148180169</v>
      </c>
      <c r="H29" s="8">
        <v>1</v>
      </c>
      <c r="I29" s="26"/>
    </row>
    <row r="30" spans="1:9" s="13" customFormat="1" ht="35.1" customHeight="1">
      <c r="A30" s="6" t="s">
        <v>914</v>
      </c>
      <c r="B30" s="11" t="s">
        <v>56</v>
      </c>
      <c r="C30" s="12" t="s">
        <v>56</v>
      </c>
      <c r="D30" s="6" t="s">
        <v>65</v>
      </c>
      <c r="E30" s="6" t="s">
        <v>55</v>
      </c>
      <c r="F30" s="6" t="s">
        <v>914</v>
      </c>
      <c r="G30" s="18" t="str">
        <f>+VLOOKUP(F30,[1]Лист_1!$A:$C,2,0)</f>
        <v>772831714107</v>
      </c>
      <c r="H30" s="8">
        <v>1</v>
      </c>
      <c r="I30" s="26"/>
    </row>
    <row r="31" spans="1:9" s="13" customFormat="1" ht="35.1" customHeight="1">
      <c r="A31" s="6" t="s">
        <v>81</v>
      </c>
      <c r="B31" s="11" t="s">
        <v>56</v>
      </c>
      <c r="C31" s="12" t="s">
        <v>56</v>
      </c>
      <c r="D31" s="6" t="s">
        <v>885</v>
      </c>
      <c r="E31" s="6" t="s">
        <v>26</v>
      </c>
      <c r="F31" s="28" t="s">
        <v>66</v>
      </c>
      <c r="G31" s="18"/>
      <c r="H31" s="8">
        <v>1</v>
      </c>
      <c r="I31" s="26"/>
    </row>
    <row r="32" spans="1:9" s="13" customFormat="1" ht="35.1" customHeight="1">
      <c r="A32" s="6" t="s">
        <v>62</v>
      </c>
      <c r="B32" s="11" t="s">
        <v>56</v>
      </c>
      <c r="C32" s="12" t="s">
        <v>56</v>
      </c>
      <c r="D32" s="6" t="s">
        <v>885</v>
      </c>
      <c r="E32" s="6" t="s">
        <v>54</v>
      </c>
      <c r="F32" s="6" t="s">
        <v>62</v>
      </c>
      <c r="G32" s="18" t="str">
        <f>+VLOOKUP(F32,[1]Лист_1!$A:$C,2,0)</f>
        <v>231138949422</v>
      </c>
      <c r="H32" s="8">
        <v>1</v>
      </c>
      <c r="I32" s="26"/>
    </row>
    <row r="33" spans="1:9" s="13" customFormat="1" ht="35.1" customHeight="1">
      <c r="A33" s="6" t="s">
        <v>61</v>
      </c>
      <c r="B33" s="11" t="s">
        <v>56</v>
      </c>
      <c r="C33" s="12" t="s">
        <v>56</v>
      </c>
      <c r="D33" s="6" t="s">
        <v>885</v>
      </c>
      <c r="E33" s="6" t="s">
        <v>54</v>
      </c>
      <c r="F33" s="6" t="s">
        <v>61</v>
      </c>
      <c r="G33" s="18" t="str">
        <f>+VLOOKUP(F33,[1]Лист_1!$A:$C,2,0)</f>
        <v>783904093170</v>
      </c>
      <c r="H33" s="8">
        <v>1</v>
      </c>
      <c r="I33" s="26"/>
    </row>
    <row r="34" spans="1:9" s="13" customFormat="1" ht="35.1" customHeight="1">
      <c r="A34" s="29" t="s">
        <v>913</v>
      </c>
      <c r="B34" s="11" t="s">
        <v>56</v>
      </c>
      <c r="C34" s="12" t="s">
        <v>56</v>
      </c>
      <c r="D34" s="6" t="s">
        <v>885</v>
      </c>
      <c r="E34" s="6" t="s">
        <v>54</v>
      </c>
      <c r="F34" s="29" t="s">
        <v>913</v>
      </c>
      <c r="G34" s="18" t="str">
        <f>+VLOOKUP(F34,[1]Лист_1!$A:$C,2,0)</f>
        <v>772832247293</v>
      </c>
      <c r="H34" s="8">
        <v>1</v>
      </c>
      <c r="I34" s="26"/>
    </row>
    <row r="35" spans="1:9" s="13" customFormat="1" ht="35.1" customHeight="1">
      <c r="A35" s="29" t="s">
        <v>706</v>
      </c>
      <c r="B35" s="11" t="s">
        <v>56</v>
      </c>
      <c r="C35" s="12" t="s">
        <v>56</v>
      </c>
      <c r="D35" s="6" t="s">
        <v>885</v>
      </c>
      <c r="E35" s="6" t="s">
        <v>55</v>
      </c>
      <c r="F35" s="29" t="s">
        <v>706</v>
      </c>
      <c r="G35" s="18" t="str">
        <f>+VLOOKUP(F35,[1]Лист_1!$A:$C,2,0)</f>
        <v>524926672003</v>
      </c>
      <c r="H35" s="8">
        <v>1</v>
      </c>
      <c r="I35" s="26"/>
    </row>
    <row r="36" spans="1:9" s="13" customFormat="1" ht="35.1" customHeight="1">
      <c r="A36" s="6" t="s">
        <v>96</v>
      </c>
      <c r="B36" s="11" t="s">
        <v>56</v>
      </c>
      <c r="C36" s="12" t="s">
        <v>56</v>
      </c>
      <c r="D36" s="6" t="s">
        <v>888</v>
      </c>
      <c r="E36" s="6" t="s">
        <v>154</v>
      </c>
      <c r="F36" s="6" t="s">
        <v>96</v>
      </c>
      <c r="G36" s="18" t="str">
        <f>+VLOOKUP(F36,[1]Лист_1!$A:$C,2,0)</f>
        <v>771617124474</v>
      </c>
      <c r="H36" s="8">
        <v>1</v>
      </c>
      <c r="I36" s="26"/>
    </row>
    <row r="37" spans="1:9" s="13" customFormat="1" ht="35.1" customHeight="1">
      <c r="A37" s="6" t="s">
        <v>87</v>
      </c>
      <c r="B37" s="11" t="s">
        <v>56</v>
      </c>
      <c r="C37" s="12" t="s">
        <v>56</v>
      </c>
      <c r="D37" s="6" t="s">
        <v>888</v>
      </c>
      <c r="E37" s="6" t="s">
        <v>889</v>
      </c>
      <c r="F37" s="6" t="s">
        <v>87</v>
      </c>
      <c r="G37" s="18" t="str">
        <f>+VLOOKUP(F37,[1]Лист_1!$A:$C,2,0)</f>
        <v>710708777304</v>
      </c>
      <c r="H37" s="8">
        <v>1</v>
      </c>
      <c r="I37" s="26"/>
    </row>
    <row r="38" spans="1:9" s="13" customFormat="1" ht="35.1" customHeight="1">
      <c r="A38" s="6" t="s">
        <v>89</v>
      </c>
      <c r="B38" s="11" t="s">
        <v>56</v>
      </c>
      <c r="C38" s="12" t="s">
        <v>56</v>
      </c>
      <c r="D38" s="6" t="s">
        <v>888</v>
      </c>
      <c r="E38" s="6" t="s">
        <v>889</v>
      </c>
      <c r="F38" s="6" t="s">
        <v>89</v>
      </c>
      <c r="G38" s="18" t="str">
        <f>+VLOOKUP(F38,[1]Лист_1!$A:$C,2,0)</f>
        <v>504602439283</v>
      </c>
      <c r="H38" s="8">
        <v>1</v>
      </c>
      <c r="I38" s="26"/>
    </row>
    <row r="39" spans="1:9" s="13" customFormat="1" ht="35.1" customHeight="1">
      <c r="A39" s="6" t="s">
        <v>82</v>
      </c>
      <c r="B39" s="11" t="s">
        <v>56</v>
      </c>
      <c r="C39" s="12" t="s">
        <v>56</v>
      </c>
      <c r="D39" s="6" t="s">
        <v>890</v>
      </c>
      <c r="E39" s="6" t="s">
        <v>67</v>
      </c>
      <c r="F39" s="6" t="s">
        <v>82</v>
      </c>
      <c r="G39" s="18" t="str">
        <f>+VLOOKUP(F39,[1]Лист_1!$A:$C,2,0)</f>
        <v>772023693736</v>
      </c>
      <c r="H39" s="8">
        <v>1</v>
      </c>
      <c r="I39" s="26"/>
    </row>
    <row r="40" spans="1:9" s="13" customFormat="1" ht="35.1" customHeight="1">
      <c r="A40" s="6" t="s">
        <v>83</v>
      </c>
      <c r="B40" s="11" t="s">
        <v>56</v>
      </c>
      <c r="C40" s="12" t="s">
        <v>56</v>
      </c>
      <c r="D40" s="6" t="s">
        <v>891</v>
      </c>
      <c r="E40" s="6" t="s">
        <v>14</v>
      </c>
      <c r="F40" s="6" t="s">
        <v>83</v>
      </c>
      <c r="G40" s="18" t="str">
        <f>+VLOOKUP(F40,[1]Лист_1!$A:$C,2,0)</f>
        <v>502723791545</v>
      </c>
      <c r="H40" s="8">
        <v>1</v>
      </c>
      <c r="I40" s="26"/>
    </row>
    <row r="41" spans="1:9" s="13" customFormat="1" ht="35.1" customHeight="1">
      <c r="A41" s="6" t="s">
        <v>84</v>
      </c>
      <c r="B41" s="11" t="s">
        <v>56</v>
      </c>
      <c r="C41" s="12" t="s">
        <v>56</v>
      </c>
      <c r="D41" s="6" t="s">
        <v>891</v>
      </c>
      <c r="E41" s="6" t="s">
        <v>614</v>
      </c>
      <c r="F41" s="6" t="s">
        <v>84</v>
      </c>
      <c r="G41" s="18" t="str">
        <f>+VLOOKUP(F41,[1]Лист_1!$A:$C,2,0)</f>
        <v>504309234044</v>
      </c>
      <c r="H41" s="8">
        <v>1</v>
      </c>
      <c r="I41" s="26"/>
    </row>
    <row r="42" spans="1:9" s="13" customFormat="1" ht="35.1" customHeight="1">
      <c r="A42" s="28" t="s">
        <v>310</v>
      </c>
      <c r="B42" s="11" t="s">
        <v>56</v>
      </c>
      <c r="C42" s="12" t="s">
        <v>56</v>
      </c>
      <c r="D42" s="6" t="s">
        <v>891</v>
      </c>
      <c r="E42" s="6" t="s">
        <v>614</v>
      </c>
      <c r="F42" s="28" t="s">
        <v>66</v>
      </c>
      <c r="G42" s="18"/>
      <c r="H42" s="8">
        <v>1</v>
      </c>
      <c r="I42" s="26"/>
    </row>
    <row r="43" spans="1:9" s="13" customFormat="1" ht="35.1" customHeight="1">
      <c r="A43" s="28" t="s">
        <v>310</v>
      </c>
      <c r="B43" s="11" t="s">
        <v>56</v>
      </c>
      <c r="C43" s="12" t="s">
        <v>56</v>
      </c>
      <c r="D43" s="6" t="s">
        <v>891</v>
      </c>
      <c r="E43" s="6" t="s">
        <v>614</v>
      </c>
      <c r="F43" s="28" t="s">
        <v>66</v>
      </c>
      <c r="G43" s="18"/>
      <c r="H43" s="8">
        <v>1</v>
      </c>
      <c r="I43" s="26"/>
    </row>
    <row r="44" spans="1:9" s="13" customFormat="1" ht="35.1" customHeight="1">
      <c r="A44" s="6" t="s">
        <v>86</v>
      </c>
      <c r="B44" s="11" t="s">
        <v>56</v>
      </c>
      <c r="C44" s="12" t="s">
        <v>56</v>
      </c>
      <c r="D44" s="6" t="s">
        <v>891</v>
      </c>
      <c r="E44" s="6" t="s">
        <v>54</v>
      </c>
      <c r="F44" s="6" t="s">
        <v>86</v>
      </c>
      <c r="G44" s="18" t="str">
        <f>+VLOOKUP(F44,[1]Лист_1!$A:$C,2,0)</f>
        <v>360903336431</v>
      </c>
      <c r="H44" s="8">
        <v>1</v>
      </c>
      <c r="I44" s="26"/>
    </row>
    <row r="45" spans="1:9" s="13" customFormat="1" ht="35.1" customHeight="1">
      <c r="A45" s="28" t="s">
        <v>310</v>
      </c>
      <c r="B45" s="11" t="s">
        <v>56</v>
      </c>
      <c r="C45" s="12" t="s">
        <v>56</v>
      </c>
      <c r="D45" s="6" t="s">
        <v>892</v>
      </c>
      <c r="E45" s="6" t="s">
        <v>52</v>
      </c>
      <c r="F45" s="28" t="s">
        <v>66</v>
      </c>
      <c r="G45" s="18"/>
      <c r="H45" s="30">
        <v>1</v>
      </c>
      <c r="I45" s="26"/>
    </row>
    <row r="46" spans="1:9" s="13" customFormat="1" ht="35.1" customHeight="1">
      <c r="A46" s="6" t="s">
        <v>98</v>
      </c>
      <c r="B46" s="11" t="s">
        <v>56</v>
      </c>
      <c r="C46" s="12" t="s">
        <v>56</v>
      </c>
      <c r="D46" s="6" t="s">
        <v>893</v>
      </c>
      <c r="E46" s="6" t="s">
        <v>14</v>
      </c>
      <c r="F46" s="6" t="s">
        <v>98</v>
      </c>
      <c r="G46" s="18" t="str">
        <f>+VLOOKUP(F46,[1]Лист_1!$A:$C,2,0)</f>
        <v>183114854862</v>
      </c>
      <c r="H46" s="8">
        <v>1</v>
      </c>
      <c r="I46" s="26"/>
    </row>
    <row r="47" spans="1:9" s="13" customFormat="1" ht="35.1" customHeight="1">
      <c r="A47" s="6" t="s">
        <v>99</v>
      </c>
      <c r="B47" s="11" t="s">
        <v>56</v>
      </c>
      <c r="C47" s="12" t="s">
        <v>56</v>
      </c>
      <c r="D47" s="6" t="s">
        <v>893</v>
      </c>
      <c r="E47" s="6" t="s">
        <v>15</v>
      </c>
      <c r="F47" s="6" t="s">
        <v>99</v>
      </c>
      <c r="G47" s="18" t="str">
        <f>+VLOOKUP(F47,[1]Лист_1!$A:$C,2,0)</f>
        <v>504793591543</v>
      </c>
      <c r="H47" s="8">
        <v>1</v>
      </c>
      <c r="I47" s="26"/>
    </row>
    <row r="48" spans="1:9" s="13" customFormat="1" ht="35.1" customHeight="1">
      <c r="A48" s="6" t="s">
        <v>100</v>
      </c>
      <c r="B48" s="11" t="s">
        <v>56</v>
      </c>
      <c r="C48" s="12" t="s">
        <v>56</v>
      </c>
      <c r="D48" s="6" t="s">
        <v>893</v>
      </c>
      <c r="E48" s="6" t="s">
        <v>614</v>
      </c>
      <c r="F48" s="6" t="s">
        <v>100</v>
      </c>
      <c r="G48" s="18" t="str">
        <f>+VLOOKUP(F48,[1]Лист_1!$A:$C,2,0)</f>
        <v>771775404330</v>
      </c>
      <c r="H48" s="8">
        <v>1</v>
      </c>
      <c r="I48" s="26"/>
    </row>
    <row r="49" spans="1:9" s="13" customFormat="1" ht="35.1" customHeight="1">
      <c r="A49" s="28" t="s">
        <v>310</v>
      </c>
      <c r="B49" s="11" t="s">
        <v>56</v>
      </c>
      <c r="C49" s="12" t="s">
        <v>56</v>
      </c>
      <c r="D49" s="6" t="s">
        <v>893</v>
      </c>
      <c r="E49" s="6" t="s">
        <v>614</v>
      </c>
      <c r="F49" s="28" t="s">
        <v>66</v>
      </c>
      <c r="G49" s="18"/>
      <c r="H49" s="8">
        <v>1</v>
      </c>
      <c r="I49" s="26"/>
    </row>
    <row r="50" spans="1:9" s="13" customFormat="1" ht="35.1" customHeight="1">
      <c r="A50" s="28" t="s">
        <v>310</v>
      </c>
      <c r="B50" s="11" t="s">
        <v>56</v>
      </c>
      <c r="C50" s="12" t="s">
        <v>56</v>
      </c>
      <c r="D50" s="6" t="s">
        <v>893</v>
      </c>
      <c r="E50" s="6" t="s">
        <v>614</v>
      </c>
      <c r="F50" s="28" t="s">
        <v>66</v>
      </c>
      <c r="G50" s="18"/>
      <c r="H50" s="8">
        <v>1</v>
      </c>
      <c r="I50" s="26"/>
    </row>
    <row r="51" spans="1:9" s="13" customFormat="1" ht="35.1" customHeight="1">
      <c r="A51" s="29" t="s">
        <v>736</v>
      </c>
      <c r="B51" s="11" t="s">
        <v>56</v>
      </c>
      <c r="C51" s="12" t="s">
        <v>56</v>
      </c>
      <c r="D51" s="6" t="s">
        <v>893</v>
      </c>
      <c r="E51" s="6" t="s">
        <v>54</v>
      </c>
      <c r="F51" s="29" t="s">
        <v>736</v>
      </c>
      <c r="G51" s="18" t="str">
        <f>+VLOOKUP(F51,[1]Лист_1!$A:$C,2,0)</f>
        <v>772512413449</v>
      </c>
      <c r="H51" s="8">
        <v>1</v>
      </c>
      <c r="I51" s="26"/>
    </row>
    <row r="52" spans="1:9" s="13" customFormat="1" ht="35.1" customHeight="1">
      <c r="A52" s="29" t="s">
        <v>753</v>
      </c>
      <c r="B52" s="11" t="s">
        <v>56</v>
      </c>
      <c r="C52" s="12" t="s">
        <v>56</v>
      </c>
      <c r="D52" s="6" t="s">
        <v>893</v>
      </c>
      <c r="E52" s="6" t="s">
        <v>54</v>
      </c>
      <c r="F52" s="29" t="s">
        <v>753</v>
      </c>
      <c r="G52" s="18" t="str">
        <f>+VLOOKUP(F52,[1]Лист_1!$A:$C,2,0)</f>
        <v>772175079640</v>
      </c>
      <c r="H52" s="8">
        <v>1</v>
      </c>
      <c r="I52" s="26"/>
    </row>
    <row r="53" spans="1:9" s="13" customFormat="1" ht="35.1" customHeight="1">
      <c r="A53" s="6" t="s">
        <v>85</v>
      </c>
      <c r="B53" s="11" t="s">
        <v>56</v>
      </c>
      <c r="C53" s="12" t="s">
        <v>56</v>
      </c>
      <c r="D53" s="6" t="s">
        <v>893</v>
      </c>
      <c r="E53" s="6" t="s">
        <v>54</v>
      </c>
      <c r="F53" s="6" t="s">
        <v>85</v>
      </c>
      <c r="G53" s="18" t="str">
        <f>+VLOOKUP(F53,[1]Лист_1!$A:$C,2,0)</f>
        <v>771684379051</v>
      </c>
      <c r="H53" s="8">
        <v>1</v>
      </c>
      <c r="I53" s="26"/>
    </row>
    <row r="54" spans="1:9" s="13" customFormat="1" ht="35.1" customHeight="1">
      <c r="A54" s="28" t="s">
        <v>310</v>
      </c>
      <c r="B54" s="11" t="s">
        <v>56</v>
      </c>
      <c r="C54" s="12" t="s">
        <v>56</v>
      </c>
      <c r="D54" s="6" t="s">
        <v>894</v>
      </c>
      <c r="E54" s="6" t="s">
        <v>14</v>
      </c>
      <c r="F54" s="28" t="s">
        <v>66</v>
      </c>
      <c r="G54" s="18"/>
      <c r="H54" s="8">
        <v>1</v>
      </c>
      <c r="I54" s="26"/>
    </row>
    <row r="55" spans="1:9" s="13" customFormat="1" ht="35.1" customHeight="1">
      <c r="A55" s="28" t="s">
        <v>310</v>
      </c>
      <c r="B55" s="11" t="s">
        <v>56</v>
      </c>
      <c r="C55" s="12" t="s">
        <v>56</v>
      </c>
      <c r="D55" s="6" t="s">
        <v>894</v>
      </c>
      <c r="E55" s="6" t="s">
        <v>15</v>
      </c>
      <c r="F55" s="28" t="s">
        <v>66</v>
      </c>
      <c r="G55" s="18"/>
      <c r="H55" s="8">
        <v>1</v>
      </c>
      <c r="I55" s="26"/>
    </row>
    <row r="56" spans="1:9" s="13" customFormat="1" ht="35.1" customHeight="1">
      <c r="A56" s="6" t="s">
        <v>93</v>
      </c>
      <c r="B56" s="11" t="s">
        <v>56</v>
      </c>
      <c r="C56" s="12" t="s">
        <v>56</v>
      </c>
      <c r="D56" s="6" t="s">
        <v>894</v>
      </c>
      <c r="E56" s="6" t="s">
        <v>614</v>
      </c>
      <c r="F56" s="6" t="s">
        <v>93</v>
      </c>
      <c r="G56" s="18" t="str">
        <f>+VLOOKUP(F56,[1]Лист_1!$A:$C,2,0)</f>
        <v>640203111445</v>
      </c>
      <c r="H56" s="8">
        <v>1</v>
      </c>
      <c r="I56" s="26"/>
    </row>
    <row r="57" spans="1:9" s="13" customFormat="1" ht="35.1" customHeight="1">
      <c r="A57" s="6" t="s">
        <v>97</v>
      </c>
      <c r="B57" s="11" t="s">
        <v>56</v>
      </c>
      <c r="C57" s="12" t="s">
        <v>56</v>
      </c>
      <c r="D57" s="6" t="s">
        <v>894</v>
      </c>
      <c r="E57" s="6" t="s">
        <v>614</v>
      </c>
      <c r="F57" s="6" t="s">
        <v>97</v>
      </c>
      <c r="G57" s="18" t="str">
        <f>+VLOOKUP(F57,[1]Лист_1!$A:$C,2,0)</f>
        <v>682707944526</v>
      </c>
      <c r="H57" s="8">
        <v>1</v>
      </c>
      <c r="I57" s="26"/>
    </row>
    <row r="58" spans="1:9" s="13" customFormat="1" ht="35.1" customHeight="1">
      <c r="A58" s="29" t="s">
        <v>838</v>
      </c>
      <c r="B58" s="11" t="s">
        <v>56</v>
      </c>
      <c r="C58" s="12" t="s">
        <v>56</v>
      </c>
      <c r="D58" s="6" t="s">
        <v>894</v>
      </c>
      <c r="E58" s="6" t="s">
        <v>54</v>
      </c>
      <c r="F58" s="29" t="s">
        <v>838</v>
      </c>
      <c r="G58" s="18" t="str">
        <f>+VLOOKUP(F58,[1]Лист_1!$A:$C,2,0)</f>
        <v>772092924409</v>
      </c>
      <c r="H58" s="8">
        <v>1</v>
      </c>
      <c r="I58" s="26"/>
    </row>
    <row r="59" spans="1:9" s="13" customFormat="1" ht="35.1" customHeight="1">
      <c r="A59" s="6" t="s">
        <v>94</v>
      </c>
      <c r="B59" s="11" t="s">
        <v>56</v>
      </c>
      <c r="C59" s="12" t="s">
        <v>56</v>
      </c>
      <c r="D59" s="6" t="s">
        <v>894</v>
      </c>
      <c r="E59" s="6" t="s">
        <v>54</v>
      </c>
      <c r="F59" s="6" t="s">
        <v>94</v>
      </c>
      <c r="G59" s="18" t="str">
        <f>+VLOOKUP(F59,[1]Лист_1!$A:$C,2,0)</f>
        <v>771375769488</v>
      </c>
      <c r="H59" s="8">
        <v>1</v>
      </c>
      <c r="I59" s="26"/>
    </row>
    <row r="60" spans="1:9" s="13" customFormat="1" ht="35.1" customHeight="1">
      <c r="A60" s="29" t="s">
        <v>835</v>
      </c>
      <c r="B60" s="11" t="s">
        <v>56</v>
      </c>
      <c r="C60" s="12" t="s">
        <v>56</v>
      </c>
      <c r="D60" s="6" t="s">
        <v>894</v>
      </c>
      <c r="E60" s="6" t="s">
        <v>54</v>
      </c>
      <c r="F60" s="29" t="s">
        <v>835</v>
      </c>
      <c r="G60" s="18" t="str">
        <f>+VLOOKUP(F60,[1]Лист_1!$A:$C,2,0)</f>
        <v>772985606990</v>
      </c>
      <c r="H60" s="8">
        <v>1</v>
      </c>
      <c r="I60" s="26"/>
    </row>
    <row r="61" spans="1:9" s="13" customFormat="1" ht="35.1" customHeight="1">
      <c r="A61" s="6" t="s">
        <v>88</v>
      </c>
      <c r="B61" s="11" t="s">
        <v>56</v>
      </c>
      <c r="C61" s="12" t="s">
        <v>56</v>
      </c>
      <c r="D61" s="6" t="s">
        <v>895</v>
      </c>
      <c r="E61" s="6" t="s">
        <v>52</v>
      </c>
      <c r="F61" s="6" t="s">
        <v>88</v>
      </c>
      <c r="G61" s="18" t="str">
        <f>+VLOOKUP(F61,[1]Лист_1!$A:$C,2,0)</f>
        <v>310260675793</v>
      </c>
      <c r="H61" s="8">
        <v>1</v>
      </c>
      <c r="I61" s="26"/>
    </row>
    <row r="62" spans="1:9" s="13" customFormat="1" ht="35.1" customHeight="1">
      <c r="A62" s="28" t="s">
        <v>310</v>
      </c>
      <c r="B62" s="11" t="s">
        <v>56</v>
      </c>
      <c r="C62" s="12" t="s">
        <v>56</v>
      </c>
      <c r="D62" s="6" t="s">
        <v>896</v>
      </c>
      <c r="E62" s="6" t="s">
        <v>14</v>
      </c>
      <c r="F62" s="28" t="s">
        <v>66</v>
      </c>
      <c r="G62" s="18"/>
      <c r="H62" s="8">
        <v>1</v>
      </c>
      <c r="I62" s="26"/>
    </row>
    <row r="63" spans="1:9" s="13" customFormat="1" ht="35.1" customHeight="1">
      <c r="A63" s="28" t="s">
        <v>310</v>
      </c>
      <c r="B63" s="11" t="s">
        <v>56</v>
      </c>
      <c r="C63" s="12" t="s">
        <v>56</v>
      </c>
      <c r="D63" s="6" t="s">
        <v>896</v>
      </c>
      <c r="E63" s="6" t="s">
        <v>614</v>
      </c>
      <c r="F63" s="28" t="s">
        <v>66</v>
      </c>
      <c r="G63" s="18"/>
      <c r="H63" s="8">
        <v>1</v>
      </c>
      <c r="I63" s="26"/>
    </row>
    <row r="64" spans="1:9" s="13" customFormat="1" ht="35.1" customHeight="1">
      <c r="A64" s="28" t="s">
        <v>310</v>
      </c>
      <c r="B64" s="11" t="s">
        <v>56</v>
      </c>
      <c r="C64" s="12" t="s">
        <v>56</v>
      </c>
      <c r="D64" s="6" t="s">
        <v>896</v>
      </c>
      <c r="E64" s="6" t="s">
        <v>54</v>
      </c>
      <c r="F64" s="28" t="s">
        <v>66</v>
      </c>
      <c r="G64" s="18"/>
      <c r="H64" s="8">
        <v>1</v>
      </c>
      <c r="I64" s="26"/>
    </row>
    <row r="65" spans="1:9" s="13" customFormat="1" ht="35.1" customHeight="1">
      <c r="A65" s="6" t="s">
        <v>92</v>
      </c>
      <c r="B65" s="11" t="s">
        <v>56</v>
      </c>
      <c r="C65" s="12" t="s">
        <v>56</v>
      </c>
      <c r="D65" s="6" t="s">
        <v>70</v>
      </c>
      <c r="E65" s="6" t="s">
        <v>14</v>
      </c>
      <c r="F65" s="6" t="s">
        <v>92</v>
      </c>
      <c r="G65" s="18" t="str">
        <f>+VLOOKUP(F65,[1]Лист_1!$A:$C,2,0)</f>
        <v>772584560033</v>
      </c>
      <c r="H65" s="8">
        <v>1</v>
      </c>
      <c r="I65" s="26"/>
    </row>
    <row r="66" spans="1:9" s="13" customFormat="1" ht="33" customHeight="1">
      <c r="A66" s="29" t="s">
        <v>778</v>
      </c>
      <c r="B66" s="11" t="s">
        <v>56</v>
      </c>
      <c r="C66" s="12" t="s">
        <v>56</v>
      </c>
      <c r="D66" s="6" t="s">
        <v>70</v>
      </c>
      <c r="E66" s="6" t="s">
        <v>614</v>
      </c>
      <c r="F66" s="29" t="s">
        <v>778</v>
      </c>
      <c r="G66" s="18" t="str">
        <f>+VLOOKUP(F66,[1]Лист_1!$A:$C,2,0)</f>
        <v>213004790501</v>
      </c>
      <c r="H66" s="8">
        <v>1</v>
      </c>
      <c r="I66" s="26"/>
    </row>
    <row r="67" spans="1:9" s="13" customFormat="1" ht="35.1" customHeight="1">
      <c r="A67" s="28" t="s">
        <v>310</v>
      </c>
      <c r="B67" s="11" t="s">
        <v>56</v>
      </c>
      <c r="C67" s="12" t="s">
        <v>56</v>
      </c>
      <c r="D67" s="6" t="s">
        <v>70</v>
      </c>
      <c r="E67" s="6" t="s">
        <v>614</v>
      </c>
      <c r="F67" s="28" t="s">
        <v>66</v>
      </c>
      <c r="G67" s="18"/>
      <c r="H67" s="8">
        <v>1</v>
      </c>
      <c r="I67" s="26"/>
    </row>
    <row r="68" spans="1:9" s="13" customFormat="1" ht="35.1" customHeight="1">
      <c r="A68" s="29" t="s">
        <v>90</v>
      </c>
      <c r="B68" s="11" t="s">
        <v>56</v>
      </c>
      <c r="C68" s="12" t="s">
        <v>56</v>
      </c>
      <c r="D68" s="6" t="s">
        <v>897</v>
      </c>
      <c r="E68" s="6" t="s">
        <v>52</v>
      </c>
      <c r="F68" s="29" t="s">
        <v>90</v>
      </c>
      <c r="G68" s="18" t="str">
        <f>+VLOOKUP(F68,[1]Лист_1!$A:$C,2,0)</f>
        <v>231907106460</v>
      </c>
      <c r="H68" s="8">
        <v>1</v>
      </c>
      <c r="I68" s="26"/>
    </row>
    <row r="69" spans="1:9" s="13" customFormat="1" ht="35.1" customHeight="1">
      <c r="A69" s="6" t="s">
        <v>560</v>
      </c>
      <c r="B69" s="11" t="s">
        <v>56</v>
      </c>
      <c r="C69" s="12" t="s">
        <v>56</v>
      </c>
      <c r="D69" s="6" t="s">
        <v>69</v>
      </c>
      <c r="E69" s="6" t="s">
        <v>14</v>
      </c>
      <c r="F69" s="6" t="s">
        <v>560</v>
      </c>
      <c r="G69" s="18" t="str">
        <f>+VLOOKUP(F69,[1]Лист_1!$A:$C,2,0)</f>
        <v>771403327580</v>
      </c>
      <c r="H69" s="8">
        <v>1</v>
      </c>
      <c r="I69" s="26"/>
    </row>
    <row r="70" spans="1:9" s="13" customFormat="1" ht="35.1" customHeight="1">
      <c r="A70" s="6" t="s">
        <v>63</v>
      </c>
      <c r="B70" s="11" t="s">
        <v>56</v>
      </c>
      <c r="C70" s="12" t="s">
        <v>56</v>
      </c>
      <c r="D70" s="6" t="s">
        <v>69</v>
      </c>
      <c r="E70" s="6" t="s">
        <v>715</v>
      </c>
      <c r="F70" s="6" t="s">
        <v>63</v>
      </c>
      <c r="G70" s="18" t="str">
        <f>+VLOOKUP(F70,[1]Лист_1!$A:$C,2,0)</f>
        <v>190220033435</v>
      </c>
      <c r="H70" s="8">
        <v>1</v>
      </c>
      <c r="I70" s="26"/>
    </row>
    <row r="71" spans="1:9" s="13" customFormat="1" ht="35.1" customHeight="1">
      <c r="A71" s="6" t="s">
        <v>91</v>
      </c>
      <c r="B71" s="11" t="s">
        <v>56</v>
      </c>
      <c r="C71" s="12" t="s">
        <v>56</v>
      </c>
      <c r="D71" s="6" t="s">
        <v>69</v>
      </c>
      <c r="E71" s="6" t="s">
        <v>614</v>
      </c>
      <c r="F71" s="6" t="s">
        <v>91</v>
      </c>
      <c r="G71" s="18" t="str">
        <f>+VLOOKUP(F71,[1]Лист_1!$A:$C,2,0)</f>
        <v>166010900450</v>
      </c>
      <c r="H71" s="8">
        <v>1</v>
      </c>
      <c r="I71" s="26"/>
    </row>
    <row r="72" spans="1:9" s="13" customFormat="1" ht="35.1" customHeight="1">
      <c r="A72" s="29" t="s">
        <v>708</v>
      </c>
      <c r="B72" s="11" t="s">
        <v>56</v>
      </c>
      <c r="C72" s="12" t="s">
        <v>7</v>
      </c>
      <c r="D72" s="6" t="s">
        <v>69</v>
      </c>
      <c r="E72" s="6" t="s">
        <v>614</v>
      </c>
      <c r="F72" s="29" t="s">
        <v>708</v>
      </c>
      <c r="G72" s="18" t="str">
        <f>+VLOOKUP(F72,[1]Лист_1!$A:$C,2,0)</f>
        <v>773583109856</v>
      </c>
      <c r="H72" s="8">
        <v>1</v>
      </c>
      <c r="I72" s="26"/>
    </row>
    <row r="73" spans="1:9" s="13" customFormat="1" ht="35.1" customHeight="1">
      <c r="A73" s="29" t="s">
        <v>793</v>
      </c>
      <c r="B73" s="11" t="s">
        <v>56</v>
      </c>
      <c r="C73" s="12" t="s">
        <v>56</v>
      </c>
      <c r="D73" s="6" t="s">
        <v>69</v>
      </c>
      <c r="E73" s="6" t="s">
        <v>614</v>
      </c>
      <c r="F73" s="29" t="s">
        <v>793</v>
      </c>
      <c r="G73" s="18" t="str">
        <f>+VLOOKUP(F73,[1]Лист_1!$A:$C,2,0)</f>
        <v>745113166233</v>
      </c>
      <c r="H73" s="8">
        <v>1</v>
      </c>
      <c r="I73" s="26"/>
    </row>
    <row r="74" spans="1:9" s="13" customFormat="1" ht="51.95" customHeight="1">
      <c r="A74" s="6" t="s">
        <v>804</v>
      </c>
      <c r="B74" s="11" t="s">
        <v>56</v>
      </c>
      <c r="C74" s="12" t="s">
        <v>56</v>
      </c>
      <c r="D74" s="6" t="s">
        <v>805</v>
      </c>
      <c r="E74" s="6" t="s">
        <v>12</v>
      </c>
      <c r="F74" s="6" t="s">
        <v>804</v>
      </c>
      <c r="G74" s="18" t="str">
        <f>+VLOOKUP(F74,[1]Лист_1!$A:$C,2,0)</f>
        <v>770302887079</v>
      </c>
      <c r="H74" s="7">
        <v>1</v>
      </c>
      <c r="I74" s="26"/>
    </row>
    <row r="75" spans="1:9" s="13" customFormat="1" ht="51.95" customHeight="1">
      <c r="A75" s="6" t="s">
        <v>806</v>
      </c>
      <c r="B75" s="11" t="s">
        <v>56</v>
      </c>
      <c r="C75" s="12" t="s">
        <v>56</v>
      </c>
      <c r="D75" s="6" t="s">
        <v>805</v>
      </c>
      <c r="E75" s="6" t="s">
        <v>141</v>
      </c>
      <c r="F75" s="6" t="s">
        <v>806</v>
      </c>
      <c r="G75" s="18" t="str">
        <f>+VLOOKUP(F75,[1]Лист_1!$A:$C,2,0)</f>
        <v>772788804111</v>
      </c>
      <c r="H75" s="7">
        <v>1</v>
      </c>
      <c r="I75" s="26"/>
    </row>
    <row r="76" spans="1:9" s="13" customFormat="1" ht="51.95" customHeight="1">
      <c r="A76" s="6" t="s">
        <v>807</v>
      </c>
      <c r="B76" s="11" t="s">
        <v>56</v>
      </c>
      <c r="C76" s="12" t="s">
        <v>56</v>
      </c>
      <c r="D76" s="6" t="s">
        <v>805</v>
      </c>
      <c r="E76" s="6" t="s">
        <v>614</v>
      </c>
      <c r="F76" s="6" t="s">
        <v>807</v>
      </c>
      <c r="G76" s="18" t="str">
        <f>+VLOOKUP(F76,[1]Лист_1!$A:$C,2,0)</f>
        <v>770770850755</v>
      </c>
      <c r="H76" s="7">
        <v>0.92500000000000004</v>
      </c>
      <c r="I76" s="26"/>
    </row>
    <row r="77" spans="1:9" s="13" customFormat="1" ht="35.450000000000003" customHeight="1">
      <c r="A77" s="28" t="s">
        <v>66</v>
      </c>
      <c r="B77" s="11" t="s">
        <v>56</v>
      </c>
      <c r="C77" s="12" t="s">
        <v>56</v>
      </c>
      <c r="D77" s="6" t="s">
        <v>805</v>
      </c>
      <c r="E77" s="6" t="s">
        <v>614</v>
      </c>
      <c r="F77" s="28" t="s">
        <v>66</v>
      </c>
      <c r="G77" s="18"/>
      <c r="H77" s="7">
        <v>7.4999999999999997E-2</v>
      </c>
      <c r="I77" s="26"/>
    </row>
    <row r="78" spans="1:9" s="13" customFormat="1" ht="51.95" customHeight="1">
      <c r="A78" s="6" t="s">
        <v>808</v>
      </c>
      <c r="B78" s="11" t="s">
        <v>56</v>
      </c>
      <c r="C78" s="12" t="s">
        <v>56</v>
      </c>
      <c r="D78" s="6" t="s">
        <v>805</v>
      </c>
      <c r="E78" s="6" t="s">
        <v>54</v>
      </c>
      <c r="F78" s="6" t="s">
        <v>808</v>
      </c>
      <c r="G78" s="18" t="str">
        <f>+VLOOKUP(F78,[1]Лист_1!$A:$C,2,0)</f>
        <v>312821415765</v>
      </c>
      <c r="H78" s="7">
        <v>1</v>
      </c>
      <c r="I78" s="26"/>
    </row>
    <row r="79" spans="1:9" s="13" customFormat="1" ht="51.95" customHeight="1">
      <c r="A79" s="6" t="s">
        <v>809</v>
      </c>
      <c r="B79" s="11" t="s">
        <v>56</v>
      </c>
      <c r="C79" s="12" t="s">
        <v>56</v>
      </c>
      <c r="D79" s="6" t="s">
        <v>805</v>
      </c>
      <c r="E79" s="6" t="s">
        <v>151</v>
      </c>
      <c r="F79" s="6" t="s">
        <v>809</v>
      </c>
      <c r="G79" s="18" t="str">
        <f>+VLOOKUP(F79,[1]Лист_1!$A:$C,2,0)</f>
        <v>110404515519</v>
      </c>
      <c r="H79" s="7">
        <v>0.8</v>
      </c>
      <c r="I79" s="26"/>
    </row>
    <row r="80" spans="1:9" s="13" customFormat="1" ht="51.95" customHeight="1">
      <c r="A80" s="28" t="s">
        <v>66</v>
      </c>
      <c r="B80" s="11" t="s">
        <v>56</v>
      </c>
      <c r="C80" s="12" t="s">
        <v>56</v>
      </c>
      <c r="D80" s="6" t="s">
        <v>805</v>
      </c>
      <c r="E80" s="6" t="s">
        <v>151</v>
      </c>
      <c r="F80" s="28" t="s">
        <v>66</v>
      </c>
      <c r="G80" s="18"/>
      <c r="H80" s="8">
        <v>0.2</v>
      </c>
      <c r="I80" s="26"/>
    </row>
    <row r="81" spans="1:9" s="13" customFormat="1" ht="35.1" customHeight="1">
      <c r="A81" s="29" t="s">
        <v>669</v>
      </c>
      <c r="B81" s="11" t="s">
        <v>56</v>
      </c>
      <c r="C81" s="12" t="s">
        <v>56</v>
      </c>
      <c r="D81" s="6" t="s">
        <v>769</v>
      </c>
      <c r="E81" s="6" t="s">
        <v>26</v>
      </c>
      <c r="F81" s="29" t="s">
        <v>669</v>
      </c>
      <c r="G81" s="18" t="str">
        <f>+VLOOKUP(F81,[1]Лист_1!$A:$C,2,0)</f>
        <v>711707838203</v>
      </c>
      <c r="H81" s="8">
        <v>1</v>
      </c>
      <c r="I81" s="26"/>
    </row>
    <row r="82" spans="1:9" s="13" customFormat="1" ht="35.1" customHeight="1">
      <c r="A82" s="6" t="s">
        <v>262</v>
      </c>
      <c r="B82" s="11" t="s">
        <v>56</v>
      </c>
      <c r="C82" s="12" t="s">
        <v>56</v>
      </c>
      <c r="D82" s="6" t="s">
        <v>769</v>
      </c>
      <c r="E82" s="6" t="s">
        <v>54</v>
      </c>
      <c r="F82" s="6" t="s">
        <v>262</v>
      </c>
      <c r="G82" s="18" t="str">
        <f>+VLOOKUP(F82,[1]Лист_1!$A:$C,2,0)</f>
        <v>760414722093</v>
      </c>
      <c r="H82" s="7">
        <v>1</v>
      </c>
      <c r="I82" s="26"/>
    </row>
    <row r="83" spans="1:9" s="13" customFormat="1" ht="35.1" customHeight="1">
      <c r="A83" s="29" t="s">
        <v>582</v>
      </c>
      <c r="B83" s="11" t="s">
        <v>56</v>
      </c>
      <c r="C83" s="12" t="s">
        <v>56</v>
      </c>
      <c r="D83" s="6" t="s">
        <v>769</v>
      </c>
      <c r="E83" s="6" t="s">
        <v>54</v>
      </c>
      <c r="F83" s="29" t="s">
        <v>582</v>
      </c>
      <c r="G83" s="18" t="str">
        <f>+VLOOKUP(F83,[1]Лист_1!$A:$C,2,0)</f>
        <v>753608700500</v>
      </c>
      <c r="H83" s="8">
        <v>1</v>
      </c>
      <c r="I83" s="26"/>
    </row>
    <row r="84" spans="1:9" s="13" customFormat="1" ht="35.1" customHeight="1">
      <c r="A84" s="6" t="s">
        <v>937</v>
      </c>
      <c r="B84" s="11" t="s">
        <v>56</v>
      </c>
      <c r="C84" s="12" t="s">
        <v>56</v>
      </c>
      <c r="D84" s="6" t="s">
        <v>769</v>
      </c>
      <c r="E84" s="6" t="s">
        <v>55</v>
      </c>
      <c r="F84" s="6" t="s">
        <v>937</v>
      </c>
      <c r="G84" s="18" t="str">
        <f>+VLOOKUP(F84,[1]Лист_1!$A:$C,2,0)</f>
        <v>504318582048</v>
      </c>
      <c r="H84" s="8">
        <v>1</v>
      </c>
      <c r="I84" s="26"/>
    </row>
    <row r="85" spans="1:9" s="13" customFormat="1" ht="35.1" customHeight="1">
      <c r="A85" s="28" t="s">
        <v>310</v>
      </c>
      <c r="B85" s="11" t="s">
        <v>56</v>
      </c>
      <c r="C85" s="12" t="s">
        <v>56</v>
      </c>
      <c r="D85" s="6" t="s">
        <v>769</v>
      </c>
      <c r="E85" s="6" t="s">
        <v>55</v>
      </c>
      <c r="F85" s="29" t="s">
        <v>959</v>
      </c>
      <c r="G85" s="48" t="s">
        <v>960</v>
      </c>
      <c r="H85" s="8">
        <v>1</v>
      </c>
      <c r="I85" s="26"/>
    </row>
    <row r="86" spans="1:9" s="13" customFormat="1" ht="35.1" customHeight="1">
      <c r="A86" s="29" t="s">
        <v>104</v>
      </c>
      <c r="B86" s="11" t="s">
        <v>56</v>
      </c>
      <c r="C86" s="12" t="s">
        <v>56</v>
      </c>
      <c r="D86" s="6" t="s">
        <v>769</v>
      </c>
      <c r="E86" s="6" t="s">
        <v>55</v>
      </c>
      <c r="F86" s="29" t="s">
        <v>104</v>
      </c>
      <c r="G86" s="18" t="str">
        <f>+VLOOKUP(F86,[1]Лист_1!$A:$C,2,0)</f>
        <v>772452129945</v>
      </c>
      <c r="H86" s="8">
        <v>1</v>
      </c>
      <c r="I86" s="26"/>
    </row>
    <row r="87" spans="1:9" s="13" customFormat="1" ht="35.1" customHeight="1">
      <c r="A87" s="6" t="s">
        <v>101</v>
      </c>
      <c r="B87" s="11" t="s">
        <v>56</v>
      </c>
      <c r="C87" s="12" t="s">
        <v>56</v>
      </c>
      <c r="D87" s="6" t="s">
        <v>71</v>
      </c>
      <c r="E87" s="6" t="s">
        <v>72</v>
      </c>
      <c r="F87" s="6" t="s">
        <v>101</v>
      </c>
      <c r="G87" s="18" t="str">
        <f>+VLOOKUP(F87,[1]Лист_1!$A:$C,2,0)</f>
        <v>571503301477</v>
      </c>
      <c r="H87" s="8">
        <v>1</v>
      </c>
      <c r="I87" s="26"/>
    </row>
    <row r="88" spans="1:9" s="13" customFormat="1" ht="35.1" customHeight="1">
      <c r="A88" s="6" t="s">
        <v>102</v>
      </c>
      <c r="B88" s="11" t="s">
        <v>56</v>
      </c>
      <c r="C88" s="12" t="s">
        <v>56</v>
      </c>
      <c r="D88" s="6" t="s">
        <v>71</v>
      </c>
      <c r="E88" s="6" t="s">
        <v>68</v>
      </c>
      <c r="F88" s="6" t="s">
        <v>102</v>
      </c>
      <c r="G88" s="18" t="str">
        <f>+VLOOKUP(F88,[1]Лист_1!$A:$C,2,0)</f>
        <v>590309520207</v>
      </c>
      <c r="H88" s="8">
        <v>1</v>
      </c>
      <c r="I88" s="26"/>
    </row>
    <row r="89" spans="1:9" s="13" customFormat="1" ht="35.1" customHeight="1">
      <c r="A89" s="6" t="s">
        <v>113</v>
      </c>
      <c r="B89" s="11" t="s">
        <v>56</v>
      </c>
      <c r="C89" s="12" t="s">
        <v>56</v>
      </c>
      <c r="D89" s="6" t="s">
        <v>73</v>
      </c>
      <c r="E89" s="6" t="s">
        <v>26</v>
      </c>
      <c r="F89" s="6" t="s">
        <v>113</v>
      </c>
      <c r="G89" s="18" t="str">
        <f>+VLOOKUP(F89,[1]Лист_1!$A:$C,2,0)</f>
        <v>774333572301</v>
      </c>
      <c r="H89" s="8">
        <v>1</v>
      </c>
      <c r="I89" s="26"/>
    </row>
    <row r="90" spans="1:9" s="13" customFormat="1" ht="35.1" customHeight="1">
      <c r="A90" s="6" t="s">
        <v>103</v>
      </c>
      <c r="B90" s="11" t="s">
        <v>56</v>
      </c>
      <c r="C90" s="12" t="s">
        <v>56</v>
      </c>
      <c r="D90" s="6" t="s">
        <v>73</v>
      </c>
      <c r="E90" s="6" t="s">
        <v>635</v>
      </c>
      <c r="F90" s="6" t="s">
        <v>103</v>
      </c>
      <c r="G90" s="18" t="str">
        <f>+VLOOKUP(F90,[1]Лист_1!$A:$C,2,0)</f>
        <v>631310635696</v>
      </c>
      <c r="H90" s="8">
        <v>1</v>
      </c>
      <c r="I90" s="26"/>
    </row>
    <row r="91" spans="1:9" s="13" customFormat="1" ht="35.1" customHeight="1">
      <c r="A91" s="6" t="s">
        <v>107</v>
      </c>
      <c r="B91" s="11" t="s">
        <v>56</v>
      </c>
      <c r="C91" s="12" t="s">
        <v>56</v>
      </c>
      <c r="D91" s="6" t="s">
        <v>73</v>
      </c>
      <c r="E91" s="6" t="s">
        <v>635</v>
      </c>
      <c r="F91" s="6" t="s">
        <v>107</v>
      </c>
      <c r="G91" s="18" t="str">
        <f>+VLOOKUP(F91,[1]Лист_1!$A:$C,2,0)</f>
        <v>771921106905</v>
      </c>
      <c r="H91" s="8">
        <v>1</v>
      </c>
      <c r="I91" s="26"/>
    </row>
    <row r="92" spans="1:9" s="13" customFormat="1" ht="35.1" customHeight="1">
      <c r="A92" s="6" t="s">
        <v>106</v>
      </c>
      <c r="B92" s="11" t="s">
        <v>56</v>
      </c>
      <c r="C92" s="12" t="s">
        <v>56</v>
      </c>
      <c r="D92" s="6" t="s">
        <v>73</v>
      </c>
      <c r="E92" s="6" t="s">
        <v>635</v>
      </c>
      <c r="F92" s="6" t="s">
        <v>106</v>
      </c>
      <c r="G92" s="18" t="str">
        <f>+VLOOKUP(F92,[1]Лист_1!$A:$C,2,0)</f>
        <v>263108972321</v>
      </c>
      <c r="H92" s="8">
        <v>1</v>
      </c>
      <c r="I92" s="26"/>
    </row>
    <row r="93" spans="1:9" s="13" customFormat="1" ht="35.1" customHeight="1">
      <c r="A93" s="6" t="s">
        <v>105</v>
      </c>
      <c r="B93" s="11" t="s">
        <v>56</v>
      </c>
      <c r="C93" s="12" t="s">
        <v>56</v>
      </c>
      <c r="D93" s="6" t="s">
        <v>73</v>
      </c>
      <c r="E93" s="6" t="s">
        <v>635</v>
      </c>
      <c r="F93" s="6" t="s">
        <v>105</v>
      </c>
      <c r="G93" s="18" t="str">
        <f>+VLOOKUP(F93,[1]Лист_1!$A:$C,2,0)</f>
        <v>262609256366</v>
      </c>
      <c r="H93" s="8">
        <v>1</v>
      </c>
      <c r="I93" s="26"/>
    </row>
    <row r="94" spans="1:9" s="13" customFormat="1" ht="35.1" customHeight="1">
      <c r="A94" s="6" t="s">
        <v>108</v>
      </c>
      <c r="B94" s="11" t="s">
        <v>56</v>
      </c>
      <c r="C94" s="12" t="s">
        <v>56</v>
      </c>
      <c r="D94" s="6" t="s">
        <v>73</v>
      </c>
      <c r="E94" s="6" t="s">
        <v>610</v>
      </c>
      <c r="F94" s="6" t="s">
        <v>108</v>
      </c>
      <c r="G94" s="18" t="str">
        <f>+VLOOKUP(F94,[1]Лист_1!$A:$C,2,0)</f>
        <v>500308556933</v>
      </c>
      <c r="H94" s="8">
        <v>1</v>
      </c>
      <c r="I94" s="26"/>
    </row>
    <row r="95" spans="1:9" s="13" customFormat="1" ht="35.1" customHeight="1">
      <c r="A95" s="6" t="s">
        <v>109</v>
      </c>
      <c r="B95" s="11" t="s">
        <v>56</v>
      </c>
      <c r="C95" s="12" t="s">
        <v>56</v>
      </c>
      <c r="D95" s="6" t="s">
        <v>73</v>
      </c>
      <c r="E95" s="6" t="s">
        <v>610</v>
      </c>
      <c r="F95" s="6" t="s">
        <v>109</v>
      </c>
      <c r="G95" s="18" t="str">
        <f>+VLOOKUP(F95,[1]Лист_1!$A:$C,2,0)</f>
        <v>507704207689</v>
      </c>
      <c r="H95" s="8">
        <v>1</v>
      </c>
      <c r="I95" s="26"/>
    </row>
    <row r="96" spans="1:9" s="13" customFormat="1" ht="35.1" customHeight="1">
      <c r="A96" s="29" t="s">
        <v>811</v>
      </c>
      <c r="B96" s="11" t="s">
        <v>56</v>
      </c>
      <c r="C96" s="12" t="s">
        <v>56</v>
      </c>
      <c r="D96" s="6" t="s">
        <v>73</v>
      </c>
      <c r="E96" s="6" t="s">
        <v>610</v>
      </c>
      <c r="F96" s="29" t="s">
        <v>811</v>
      </c>
      <c r="G96" s="18" t="str">
        <f>+VLOOKUP(F96,[1]Лист_1!$A:$C,2,0)</f>
        <v>781018688439</v>
      </c>
      <c r="H96" s="8">
        <v>1</v>
      </c>
      <c r="I96" s="26"/>
    </row>
    <row r="97" spans="1:9" s="13" customFormat="1" ht="35.1" customHeight="1">
      <c r="A97" s="29" t="s">
        <v>698</v>
      </c>
      <c r="B97" s="11" t="s">
        <v>56</v>
      </c>
      <c r="C97" s="12" t="s">
        <v>56</v>
      </c>
      <c r="D97" s="6" t="s">
        <v>73</v>
      </c>
      <c r="E97" s="6" t="s">
        <v>610</v>
      </c>
      <c r="F97" s="29" t="s">
        <v>698</v>
      </c>
      <c r="G97" s="18" t="str">
        <f>+VLOOKUP(F97,[1]Лист_1!$A:$C,2,0)</f>
        <v>026414424128</v>
      </c>
      <c r="H97" s="8">
        <v>1</v>
      </c>
      <c r="I97" s="26"/>
    </row>
    <row r="98" spans="1:9" s="13" customFormat="1" ht="35.1" customHeight="1">
      <c r="A98" s="6" t="s">
        <v>116</v>
      </c>
      <c r="B98" s="11" t="s">
        <v>56</v>
      </c>
      <c r="C98" s="12" t="s">
        <v>56</v>
      </c>
      <c r="D98" s="6" t="s">
        <v>75</v>
      </c>
      <c r="E98" s="6" t="s">
        <v>26</v>
      </c>
      <c r="F98" s="6" t="s">
        <v>116</v>
      </c>
      <c r="G98" s="18" t="str">
        <f>+VLOOKUP(F98,[1]Лист_1!$A:$C,2,0)</f>
        <v>771379582635</v>
      </c>
      <c r="H98" s="8">
        <v>1</v>
      </c>
      <c r="I98" s="26"/>
    </row>
    <row r="99" spans="1:9" s="13" customFormat="1" ht="35.1" customHeight="1">
      <c r="A99" s="6" t="s">
        <v>115</v>
      </c>
      <c r="B99" s="11" t="s">
        <v>56</v>
      </c>
      <c r="C99" s="12" t="s">
        <v>56</v>
      </c>
      <c r="D99" s="6" t="s">
        <v>75</v>
      </c>
      <c r="E99" s="6" t="s">
        <v>716</v>
      </c>
      <c r="F99" s="6" t="s">
        <v>115</v>
      </c>
      <c r="G99" s="18" t="str">
        <f>+VLOOKUP(F99,[1]Лист_1!$A:$C,2,0)</f>
        <v>771508791703</v>
      </c>
      <c r="H99" s="8">
        <v>1</v>
      </c>
      <c r="I99" s="26"/>
    </row>
    <row r="100" spans="1:9" s="13" customFormat="1" ht="35.1" customHeight="1">
      <c r="A100" s="6" t="s">
        <v>119</v>
      </c>
      <c r="B100" s="11" t="s">
        <v>56</v>
      </c>
      <c r="C100" s="12" t="s">
        <v>56</v>
      </c>
      <c r="D100" s="6" t="s">
        <v>76</v>
      </c>
      <c r="E100" s="6" t="s">
        <v>26</v>
      </c>
      <c r="F100" s="6" t="s">
        <v>119</v>
      </c>
      <c r="G100" s="18" t="str">
        <f>+VLOOKUP(F100,[1]Лист_1!$A:$C,2,0)</f>
        <v>712302806090</v>
      </c>
      <c r="H100" s="8">
        <v>1</v>
      </c>
      <c r="I100" s="26"/>
    </row>
    <row r="101" spans="1:9" s="13" customFormat="1" ht="35.1" customHeight="1">
      <c r="A101" s="29" t="s">
        <v>785</v>
      </c>
      <c r="B101" s="11" t="s">
        <v>56</v>
      </c>
      <c r="C101" s="12" t="s">
        <v>56</v>
      </c>
      <c r="D101" s="6" t="s">
        <v>76</v>
      </c>
      <c r="E101" s="6" t="s">
        <v>635</v>
      </c>
      <c r="F101" s="29" t="s">
        <v>785</v>
      </c>
      <c r="G101" s="18" t="str">
        <f>+VLOOKUP(F101,[1]Лист_1!$A:$C,2,0)</f>
        <v>212305674874</v>
      </c>
      <c r="H101" s="8">
        <v>1</v>
      </c>
      <c r="I101" s="26"/>
    </row>
    <row r="102" spans="1:9" s="13" customFormat="1" ht="35.1" customHeight="1">
      <c r="A102" s="6" t="s">
        <v>120</v>
      </c>
      <c r="B102" s="11" t="s">
        <v>56</v>
      </c>
      <c r="C102" s="12" t="s">
        <v>56</v>
      </c>
      <c r="D102" s="6" t="s">
        <v>76</v>
      </c>
      <c r="E102" s="6" t="s">
        <v>635</v>
      </c>
      <c r="F102" s="6" t="s">
        <v>120</v>
      </c>
      <c r="G102" s="18" t="str">
        <f>+VLOOKUP(F102,[1]Лист_1!$A:$C,2,0)</f>
        <v>672207635202</v>
      </c>
      <c r="H102" s="8">
        <v>1</v>
      </c>
      <c r="I102" s="26"/>
    </row>
    <row r="103" spans="1:9" s="13" customFormat="1" ht="35.1" customHeight="1">
      <c r="A103" s="6" t="s">
        <v>121</v>
      </c>
      <c r="B103" s="11" t="s">
        <v>56</v>
      </c>
      <c r="C103" s="12" t="s">
        <v>56</v>
      </c>
      <c r="D103" s="6" t="s">
        <v>76</v>
      </c>
      <c r="E103" s="6" t="s">
        <v>635</v>
      </c>
      <c r="F103" s="6" t="s">
        <v>121</v>
      </c>
      <c r="G103" s="18" t="str">
        <f>+VLOOKUP(F103,[1]Лист_1!$A:$C,2,0)</f>
        <v>780427173502</v>
      </c>
      <c r="H103" s="8">
        <v>0.8</v>
      </c>
      <c r="I103" s="26"/>
    </row>
    <row r="104" spans="1:9" s="13" customFormat="1" ht="35.1" customHeight="1">
      <c r="A104" s="28" t="s">
        <v>25</v>
      </c>
      <c r="B104" s="11" t="s">
        <v>56</v>
      </c>
      <c r="C104" s="12" t="s">
        <v>56</v>
      </c>
      <c r="D104" s="6" t="s">
        <v>76</v>
      </c>
      <c r="E104" s="6" t="s">
        <v>635</v>
      </c>
      <c r="F104" s="28" t="s">
        <v>66</v>
      </c>
      <c r="G104" s="18"/>
      <c r="H104" s="8">
        <v>0.2</v>
      </c>
      <c r="I104" s="26"/>
    </row>
    <row r="105" spans="1:9" s="13" customFormat="1" ht="35.1" customHeight="1">
      <c r="A105" s="28" t="s">
        <v>25</v>
      </c>
      <c r="B105" s="11" t="s">
        <v>56</v>
      </c>
      <c r="C105" s="12" t="s">
        <v>56</v>
      </c>
      <c r="D105" s="6" t="s">
        <v>76</v>
      </c>
      <c r="E105" s="6" t="s">
        <v>635</v>
      </c>
      <c r="F105" s="29" t="s">
        <v>949</v>
      </c>
      <c r="G105" s="18" t="str">
        <f>+VLOOKUP(F105,[1]Лист_1!$A:$C,2,0)</f>
        <v>312338289905</v>
      </c>
      <c r="H105" s="8">
        <v>1</v>
      </c>
      <c r="I105" s="26"/>
    </row>
    <row r="106" spans="1:9" s="13" customFormat="1" ht="35.1" customHeight="1">
      <c r="A106" s="6" t="s">
        <v>122</v>
      </c>
      <c r="B106" s="11" t="s">
        <v>56</v>
      </c>
      <c r="C106" s="12" t="s">
        <v>56</v>
      </c>
      <c r="D106" s="6" t="s">
        <v>76</v>
      </c>
      <c r="E106" s="6" t="s">
        <v>635</v>
      </c>
      <c r="F106" s="6" t="s">
        <v>122</v>
      </c>
      <c r="G106" s="18" t="str">
        <f>+VLOOKUP(F106,[1]Лист_1!$A:$C,2,0)</f>
        <v>482561415790</v>
      </c>
      <c r="H106" s="8">
        <v>1</v>
      </c>
      <c r="I106" s="26"/>
    </row>
    <row r="107" spans="1:9" s="13" customFormat="1" ht="35.1" customHeight="1">
      <c r="A107" s="6" t="s">
        <v>117</v>
      </c>
      <c r="B107" s="11" t="s">
        <v>56</v>
      </c>
      <c r="C107" s="12" t="s">
        <v>56</v>
      </c>
      <c r="D107" s="6" t="s">
        <v>76</v>
      </c>
      <c r="E107" s="6" t="s">
        <v>635</v>
      </c>
      <c r="F107" s="28" t="s">
        <v>66</v>
      </c>
      <c r="H107" s="8">
        <v>1</v>
      </c>
      <c r="I107" s="26"/>
    </row>
    <row r="108" spans="1:9" s="13" customFormat="1" ht="35.1" customHeight="1">
      <c r="A108" s="6" t="s">
        <v>123</v>
      </c>
      <c r="B108" s="11" t="s">
        <v>56</v>
      </c>
      <c r="C108" s="12" t="s">
        <v>56</v>
      </c>
      <c r="D108" s="6" t="s">
        <v>76</v>
      </c>
      <c r="E108" s="6" t="s">
        <v>635</v>
      </c>
      <c r="F108" s="6" t="s">
        <v>123</v>
      </c>
      <c r="G108" s="18" t="str">
        <f>+VLOOKUP(F108,[1]Лист_1!$A:$C,2,0)</f>
        <v>027618644300</v>
      </c>
      <c r="H108" s="8">
        <v>1</v>
      </c>
      <c r="I108" s="26"/>
    </row>
    <row r="109" spans="1:9" s="13" customFormat="1" ht="35.1" customHeight="1">
      <c r="A109" s="29" t="s">
        <v>737</v>
      </c>
      <c r="B109" s="11" t="s">
        <v>56</v>
      </c>
      <c r="C109" s="12" t="s">
        <v>56</v>
      </c>
      <c r="D109" s="6" t="s">
        <v>76</v>
      </c>
      <c r="E109" s="6" t="s">
        <v>635</v>
      </c>
      <c r="F109" s="29" t="s">
        <v>737</v>
      </c>
      <c r="G109" s="18" t="str">
        <f>+VLOOKUP(F109,[1]Лист_1!$A:$C,2,0)</f>
        <v>672604797175</v>
      </c>
      <c r="H109" s="8">
        <v>1</v>
      </c>
      <c r="I109" s="26"/>
    </row>
    <row r="110" spans="1:9" s="13" customFormat="1" ht="35.1" customHeight="1">
      <c r="A110" s="6" t="s">
        <v>118</v>
      </c>
      <c r="B110" s="11" t="s">
        <v>56</v>
      </c>
      <c r="C110" s="12" t="s">
        <v>56</v>
      </c>
      <c r="D110" s="6" t="s">
        <v>76</v>
      </c>
      <c r="E110" s="6" t="s">
        <v>636</v>
      </c>
      <c r="F110" s="6" t="s">
        <v>118</v>
      </c>
      <c r="G110" s="18" t="str">
        <f>+VLOOKUP(F110,[1]Лист_1!$A:$C,2,0)</f>
        <v>504214088236</v>
      </c>
      <c r="H110" s="8">
        <v>1</v>
      </c>
      <c r="I110" s="26"/>
    </row>
    <row r="111" spans="1:9" s="13" customFormat="1" ht="35.1" customHeight="1">
      <c r="A111" s="6" t="s">
        <v>133</v>
      </c>
      <c r="B111" s="11" t="s">
        <v>56</v>
      </c>
      <c r="C111" s="12" t="s">
        <v>968</v>
      </c>
      <c r="D111" s="6" t="s">
        <v>77</v>
      </c>
      <c r="E111" s="6" t="s">
        <v>67</v>
      </c>
      <c r="F111" s="6" t="s">
        <v>133</v>
      </c>
      <c r="G111" s="18" t="str">
        <f>+VLOOKUP(F111,[1]Лист_1!$A:$C,2,0)</f>
        <v>780431848028</v>
      </c>
      <c r="H111" s="8">
        <v>1</v>
      </c>
      <c r="I111" s="26"/>
    </row>
    <row r="112" spans="1:9" s="13" customFormat="1" ht="35.1" customHeight="1">
      <c r="A112" s="6" t="s">
        <v>126</v>
      </c>
      <c r="B112" s="11" t="s">
        <v>56</v>
      </c>
      <c r="C112" s="12" t="s">
        <v>968</v>
      </c>
      <c r="D112" s="6" t="s">
        <v>77</v>
      </c>
      <c r="E112" s="6" t="s">
        <v>68</v>
      </c>
      <c r="F112" s="6" t="s">
        <v>126</v>
      </c>
      <c r="G112" s="18" t="str">
        <f>+VLOOKUP(F112,[1]Лист_1!$A:$C,2,0)</f>
        <v>616511993610</v>
      </c>
      <c r="H112" s="8">
        <v>1</v>
      </c>
      <c r="I112" s="26"/>
    </row>
    <row r="113" spans="1:9" s="13" customFormat="1" ht="35.1" customHeight="1">
      <c r="A113" s="6" t="s">
        <v>131</v>
      </c>
      <c r="B113" s="11" t="s">
        <v>56</v>
      </c>
      <c r="C113" s="12" t="s">
        <v>968</v>
      </c>
      <c r="D113" s="6" t="s">
        <v>77</v>
      </c>
      <c r="E113" s="6" t="s">
        <v>68</v>
      </c>
      <c r="F113" s="6" t="s">
        <v>131</v>
      </c>
      <c r="G113" s="18" t="str">
        <f>+VLOOKUP(F113,[1]Лист_1!$A:$C,2,0)</f>
        <v>231121184969</v>
      </c>
      <c r="H113" s="8">
        <v>1</v>
      </c>
      <c r="I113" s="26"/>
    </row>
    <row r="114" spans="1:9" s="13" customFormat="1" ht="35.1" customHeight="1">
      <c r="A114" s="6" t="s">
        <v>134</v>
      </c>
      <c r="B114" s="11" t="s">
        <v>56</v>
      </c>
      <c r="C114" s="12" t="s">
        <v>968</v>
      </c>
      <c r="D114" s="6" t="s">
        <v>77</v>
      </c>
      <c r="E114" s="6" t="s">
        <v>715</v>
      </c>
      <c r="F114" s="6" t="s">
        <v>134</v>
      </c>
      <c r="G114" s="18" t="str">
        <f>+VLOOKUP(F114,[1]Лист_1!$A:$C,2,0)</f>
        <v>771991830879</v>
      </c>
      <c r="H114" s="8">
        <v>1</v>
      </c>
      <c r="I114" s="26"/>
    </row>
    <row r="115" spans="1:9" s="13" customFormat="1" ht="35.1" customHeight="1">
      <c r="A115" s="6" t="s">
        <v>131</v>
      </c>
      <c r="B115" s="11" t="s">
        <v>56</v>
      </c>
      <c r="C115" s="12" t="s">
        <v>968</v>
      </c>
      <c r="D115" s="6" t="s">
        <v>77</v>
      </c>
      <c r="E115" s="6" t="s">
        <v>614</v>
      </c>
      <c r="F115" s="6" t="s">
        <v>131</v>
      </c>
      <c r="G115" s="18" t="str">
        <f>+VLOOKUP(F115,[1]Лист_1!$A:$C,2,0)</f>
        <v>231121184969</v>
      </c>
      <c r="H115" s="8">
        <v>0.1</v>
      </c>
      <c r="I115" s="26"/>
    </row>
    <row r="116" spans="1:9" s="13" customFormat="1" ht="35.1" customHeight="1">
      <c r="A116" s="29" t="s">
        <v>840</v>
      </c>
      <c r="B116" s="11" t="s">
        <v>56</v>
      </c>
      <c r="C116" s="12" t="s">
        <v>968</v>
      </c>
      <c r="D116" s="6" t="s">
        <v>77</v>
      </c>
      <c r="E116" s="6" t="s">
        <v>614</v>
      </c>
      <c r="F116" s="29" t="s">
        <v>840</v>
      </c>
      <c r="G116" s="18" t="str">
        <f>+VLOOKUP(F116,[1]Лист_1!$A:$C,2,0)</f>
        <v>130200459322</v>
      </c>
      <c r="H116" s="8">
        <v>0.9</v>
      </c>
      <c r="I116" s="26"/>
    </row>
    <row r="117" spans="1:9" s="13" customFormat="1" ht="35.1" customHeight="1">
      <c r="A117" s="6" t="s">
        <v>128</v>
      </c>
      <c r="B117" s="11" t="s">
        <v>56</v>
      </c>
      <c r="C117" s="12" t="s">
        <v>968</v>
      </c>
      <c r="D117" s="6" t="s">
        <v>77</v>
      </c>
      <c r="E117" s="6" t="s">
        <v>614</v>
      </c>
      <c r="F117" s="6" t="s">
        <v>128</v>
      </c>
      <c r="G117" s="18" t="str">
        <f>+VLOOKUP(F117,[1]Лист_1!$A:$C,2,0)</f>
        <v>773578671562</v>
      </c>
      <c r="H117" s="8">
        <v>0.5</v>
      </c>
      <c r="I117" s="26"/>
    </row>
    <row r="118" spans="1:9" s="13" customFormat="1" ht="35.1" customHeight="1">
      <c r="A118" s="6" t="s">
        <v>127</v>
      </c>
      <c r="B118" s="11" t="s">
        <v>56</v>
      </c>
      <c r="C118" s="12" t="s">
        <v>968</v>
      </c>
      <c r="D118" s="6" t="s">
        <v>77</v>
      </c>
      <c r="E118" s="6" t="s">
        <v>614</v>
      </c>
      <c r="F118" s="6" t="s">
        <v>127</v>
      </c>
      <c r="G118" s="18" t="str">
        <f>+VLOOKUP(F118,[1]Лист_1!$A:$C,2,0)</f>
        <v>482413810179</v>
      </c>
      <c r="H118" s="8">
        <v>0.5</v>
      </c>
      <c r="I118" s="26"/>
    </row>
    <row r="119" spans="1:9" s="13" customFormat="1" ht="35.1" customHeight="1">
      <c r="A119" s="28" t="s">
        <v>25</v>
      </c>
      <c r="B119" s="11" t="s">
        <v>56</v>
      </c>
      <c r="C119" s="12" t="s">
        <v>968</v>
      </c>
      <c r="D119" s="6" t="s">
        <v>77</v>
      </c>
      <c r="E119" s="6" t="s">
        <v>614</v>
      </c>
      <c r="F119" s="28" t="s">
        <v>66</v>
      </c>
      <c r="G119" s="18"/>
      <c r="H119" s="8">
        <v>0.5</v>
      </c>
      <c r="I119" s="26"/>
    </row>
    <row r="120" spans="1:9" s="13" customFormat="1" ht="35.1" customHeight="1">
      <c r="A120" s="6" t="s">
        <v>129</v>
      </c>
      <c r="B120" s="11" t="s">
        <v>56</v>
      </c>
      <c r="C120" s="12" t="s">
        <v>968</v>
      </c>
      <c r="D120" s="6" t="s">
        <v>77</v>
      </c>
      <c r="E120" s="6" t="s">
        <v>614</v>
      </c>
      <c r="F120" s="6" t="s">
        <v>129</v>
      </c>
      <c r="G120" s="18" t="str">
        <f>+VLOOKUP(F120,[1]Лист_1!$A:$C,2,0)</f>
        <v>501213478661</v>
      </c>
      <c r="H120" s="8">
        <v>0.5</v>
      </c>
      <c r="I120" s="26"/>
    </row>
    <row r="121" spans="1:9" s="13" customFormat="1" ht="35.1" customHeight="1">
      <c r="A121" s="6" t="s">
        <v>132</v>
      </c>
      <c r="B121" s="11" t="s">
        <v>56</v>
      </c>
      <c r="C121" s="12" t="s">
        <v>968</v>
      </c>
      <c r="D121" s="6" t="s">
        <v>77</v>
      </c>
      <c r="E121" s="6" t="s">
        <v>54</v>
      </c>
      <c r="F121" s="6" t="s">
        <v>132</v>
      </c>
      <c r="G121" s="18" t="str">
        <f>+VLOOKUP(F121,[1]Лист_1!$A:$C,2,0)</f>
        <v>672204446207</v>
      </c>
      <c r="H121" s="8">
        <v>0.5</v>
      </c>
      <c r="I121" s="26"/>
    </row>
    <row r="122" spans="1:9" s="13" customFormat="1" ht="35.1" customHeight="1">
      <c r="A122" s="6" t="s">
        <v>125</v>
      </c>
      <c r="B122" s="11" t="s">
        <v>56</v>
      </c>
      <c r="C122" s="12" t="s">
        <v>968</v>
      </c>
      <c r="D122" s="6" t="s">
        <v>77</v>
      </c>
      <c r="E122" s="6" t="s">
        <v>54</v>
      </c>
      <c r="F122" s="6" t="s">
        <v>125</v>
      </c>
      <c r="G122" s="18" t="str">
        <f>+VLOOKUP(F122,[1]Лист_1!$A:$C,2,0)</f>
        <v>771549851084</v>
      </c>
      <c r="H122" s="8">
        <v>0.5</v>
      </c>
      <c r="I122" s="26"/>
    </row>
    <row r="123" spans="1:9" s="13" customFormat="1" ht="35.1" customHeight="1">
      <c r="A123" s="6" t="s">
        <v>132</v>
      </c>
      <c r="B123" s="11" t="s">
        <v>56</v>
      </c>
      <c r="C123" s="12" t="s">
        <v>968</v>
      </c>
      <c r="D123" s="6" t="s">
        <v>77</v>
      </c>
      <c r="E123" s="6" t="s">
        <v>55</v>
      </c>
      <c r="F123" s="6" t="s">
        <v>132</v>
      </c>
      <c r="G123" s="18" t="str">
        <f>+VLOOKUP(F123,[1]Лист_1!$A:$C,2,0)</f>
        <v>672204446207</v>
      </c>
      <c r="H123" s="20">
        <v>1</v>
      </c>
      <c r="I123" s="26"/>
    </row>
    <row r="124" spans="1:9" s="13" customFormat="1" ht="35.1" customHeight="1">
      <c r="A124" s="6" t="s">
        <v>130</v>
      </c>
      <c r="B124" s="11" t="s">
        <v>56</v>
      </c>
      <c r="C124" s="12" t="s">
        <v>968</v>
      </c>
      <c r="D124" s="6" t="s">
        <v>77</v>
      </c>
      <c r="E124" s="6" t="s">
        <v>55</v>
      </c>
      <c r="F124" s="6" t="s">
        <v>130</v>
      </c>
      <c r="G124" s="18" t="str">
        <f>+VLOOKUP(F124,[1]Лист_1!$A:$C,2,0)</f>
        <v>780102627591</v>
      </c>
      <c r="H124" s="20">
        <v>1</v>
      </c>
      <c r="I124" s="26"/>
    </row>
    <row r="125" spans="1:9" s="13" customFormat="1" ht="35.1" customHeight="1">
      <c r="A125" s="6" t="s">
        <v>747</v>
      </c>
      <c r="B125" s="11" t="s">
        <v>56</v>
      </c>
      <c r="C125" s="12" t="s">
        <v>56</v>
      </c>
      <c r="D125" s="6" t="s">
        <v>416</v>
      </c>
      <c r="E125" s="6" t="s">
        <v>304</v>
      </c>
      <c r="F125" s="6" t="s">
        <v>747</v>
      </c>
      <c r="G125" s="18" t="str">
        <f>+VLOOKUP(F125,[1]Лист_1!$A:$C,2,0)</f>
        <v>620603240805</v>
      </c>
      <c r="H125" s="21">
        <v>1</v>
      </c>
      <c r="I125" s="26"/>
    </row>
    <row r="126" spans="1:9" s="13" customFormat="1" ht="35.1" customHeight="1">
      <c r="A126" s="28" t="s">
        <v>936</v>
      </c>
      <c r="B126" s="11" t="s">
        <v>56</v>
      </c>
      <c r="C126" s="12" t="s">
        <v>56</v>
      </c>
      <c r="D126" s="6" t="s">
        <v>416</v>
      </c>
      <c r="E126" s="6" t="s">
        <v>633</v>
      </c>
      <c r="F126" s="29" t="s">
        <v>951</v>
      </c>
      <c r="G126" s="18" t="str">
        <f>+VLOOKUP(F126,[1]Лист_1!$A:$C,2,0)</f>
        <v>920358230384</v>
      </c>
      <c r="H126" s="21">
        <v>1</v>
      </c>
      <c r="I126" s="26"/>
    </row>
    <row r="127" spans="1:9" s="13" customFormat="1" ht="35.1" customHeight="1">
      <c r="A127" s="6" t="s">
        <v>748</v>
      </c>
      <c r="B127" s="11" t="s">
        <v>56</v>
      </c>
      <c r="C127" s="12" t="s">
        <v>56</v>
      </c>
      <c r="D127" s="6" t="s">
        <v>416</v>
      </c>
      <c r="E127" s="6" t="s">
        <v>633</v>
      </c>
      <c r="F127" s="6" t="s">
        <v>748</v>
      </c>
      <c r="G127" s="18" t="str">
        <f>+VLOOKUP(F127,[1]Лист_1!$A:$C,2,0)</f>
        <v>614346624940</v>
      </c>
      <c r="H127" s="21">
        <v>1</v>
      </c>
      <c r="I127" s="26"/>
    </row>
    <row r="128" spans="1:9" s="13" customFormat="1" ht="35.1" customHeight="1">
      <c r="A128" s="6" t="s">
        <v>672</v>
      </c>
      <c r="B128" s="11" t="s">
        <v>56</v>
      </c>
      <c r="C128" s="12" t="s">
        <v>56</v>
      </c>
      <c r="D128" s="6" t="s">
        <v>411</v>
      </c>
      <c r="E128" s="6" t="s">
        <v>12</v>
      </c>
      <c r="F128" s="6" t="s">
        <v>672</v>
      </c>
      <c r="G128" s="18" t="str">
        <f>+VLOOKUP(F128,[1]Лист_1!$A:$C,2,0)</f>
        <v>772072925010</v>
      </c>
      <c r="H128" s="21">
        <v>1</v>
      </c>
      <c r="I128" s="26"/>
    </row>
    <row r="129" spans="1:9" s="13" customFormat="1" ht="35.1" customHeight="1">
      <c r="A129" s="6" t="s">
        <v>436</v>
      </c>
      <c r="B129" s="11" t="s">
        <v>56</v>
      </c>
      <c r="C129" s="12" t="s">
        <v>56</v>
      </c>
      <c r="D129" s="6" t="s">
        <v>411</v>
      </c>
      <c r="E129" s="6" t="s">
        <v>141</v>
      </c>
      <c r="F129" s="6" t="s">
        <v>436</v>
      </c>
      <c r="G129" s="18" t="str">
        <f>+VLOOKUP(F129,[1]Лист_1!$A:$C,2,0)</f>
        <v>861710601858</v>
      </c>
      <c r="H129" s="21">
        <v>0.5</v>
      </c>
      <c r="I129" s="26"/>
    </row>
    <row r="130" spans="1:9" s="13" customFormat="1" ht="35.1" customHeight="1">
      <c r="A130" s="28" t="s">
        <v>25</v>
      </c>
      <c r="B130" s="11" t="s">
        <v>56</v>
      </c>
      <c r="C130" s="12" t="s">
        <v>56</v>
      </c>
      <c r="D130" s="6" t="s">
        <v>411</v>
      </c>
      <c r="E130" s="6" t="s">
        <v>141</v>
      </c>
      <c r="F130" s="28" t="s">
        <v>66</v>
      </c>
      <c r="G130" s="18"/>
      <c r="H130" s="21">
        <v>0.5</v>
      </c>
      <c r="I130" s="26"/>
    </row>
    <row r="131" spans="1:9" s="13" customFormat="1" ht="35.1" customHeight="1">
      <c r="A131" s="6" t="s">
        <v>423</v>
      </c>
      <c r="B131" s="11" t="s">
        <v>56</v>
      </c>
      <c r="C131" s="12" t="s">
        <v>56</v>
      </c>
      <c r="D131" s="6" t="s">
        <v>412</v>
      </c>
      <c r="E131" s="6" t="s">
        <v>14</v>
      </c>
      <c r="F131" s="6" t="s">
        <v>423</v>
      </c>
      <c r="G131" s="18" t="str">
        <f>+VLOOKUP(F131,[1]Лист_1!$A:$C,2,0)</f>
        <v>210404209120</v>
      </c>
      <c r="H131" s="7">
        <v>1</v>
      </c>
      <c r="I131" s="26"/>
    </row>
    <row r="132" spans="1:9" s="13" customFormat="1" ht="35.1" customHeight="1">
      <c r="A132" s="6" t="s">
        <v>421</v>
      </c>
      <c r="B132" s="11" t="s">
        <v>56</v>
      </c>
      <c r="C132" s="12" t="s">
        <v>56</v>
      </c>
      <c r="D132" s="6" t="s">
        <v>412</v>
      </c>
      <c r="E132" s="6" t="s">
        <v>54</v>
      </c>
      <c r="F132" s="6" t="s">
        <v>421</v>
      </c>
      <c r="G132" s="18" t="str">
        <f>+VLOOKUP(F132,[1]Лист_1!$A:$C,2,0)</f>
        <v>701739156006</v>
      </c>
      <c r="H132" s="7">
        <v>1</v>
      </c>
      <c r="I132" s="26"/>
    </row>
    <row r="133" spans="1:9" s="13" customFormat="1" ht="35.1" customHeight="1">
      <c r="A133" s="6" t="s">
        <v>422</v>
      </c>
      <c r="B133" s="11" t="s">
        <v>56</v>
      </c>
      <c r="C133" s="12" t="s">
        <v>56</v>
      </c>
      <c r="D133" s="6" t="s">
        <v>412</v>
      </c>
      <c r="E133" s="6" t="s">
        <v>54</v>
      </c>
      <c r="F133" s="6" t="s">
        <v>422</v>
      </c>
      <c r="G133" s="18" t="str">
        <f>+VLOOKUP(F133,[1]Лист_1!$A:$C,2,0)</f>
        <v>263405773745</v>
      </c>
      <c r="H133" s="7">
        <v>1</v>
      </c>
      <c r="I133" s="26"/>
    </row>
    <row r="134" spans="1:9" s="13" customFormat="1" ht="35.1" customHeight="1">
      <c r="A134" s="28" t="s">
        <v>25</v>
      </c>
      <c r="B134" s="11" t="s">
        <v>56</v>
      </c>
      <c r="C134" s="12" t="s">
        <v>56</v>
      </c>
      <c r="D134" s="6" t="s">
        <v>412</v>
      </c>
      <c r="E134" s="6" t="s">
        <v>55</v>
      </c>
      <c r="F134" s="28" t="s">
        <v>66</v>
      </c>
      <c r="G134" s="18"/>
      <c r="H134" s="7">
        <v>0.5</v>
      </c>
      <c r="I134" s="26"/>
    </row>
    <row r="135" spans="1:9" s="13" customFormat="1" ht="35.1" customHeight="1">
      <c r="A135" s="6" t="s">
        <v>434</v>
      </c>
      <c r="B135" s="11" t="s">
        <v>56</v>
      </c>
      <c r="C135" s="12" t="s">
        <v>56</v>
      </c>
      <c r="D135" s="6" t="s">
        <v>412</v>
      </c>
      <c r="E135" s="6" t="s">
        <v>55</v>
      </c>
      <c r="F135" s="6" t="s">
        <v>434</v>
      </c>
      <c r="G135" s="18" t="str">
        <f>+VLOOKUP(F135,[1]Лист_1!$A:$C,2,0)</f>
        <v>770301160241</v>
      </c>
      <c r="H135" s="7">
        <v>0.5</v>
      </c>
      <c r="I135" s="26"/>
    </row>
    <row r="136" spans="1:9" s="13" customFormat="1" ht="35.1" customHeight="1">
      <c r="A136" s="6" t="s">
        <v>439</v>
      </c>
      <c r="B136" s="11" t="s">
        <v>56</v>
      </c>
      <c r="C136" s="12" t="s">
        <v>56</v>
      </c>
      <c r="D136" s="6" t="s">
        <v>412</v>
      </c>
      <c r="E136" s="6" t="s">
        <v>419</v>
      </c>
      <c r="F136" s="6" t="s">
        <v>439</v>
      </c>
      <c r="G136" s="18" t="str">
        <f>+VLOOKUP(F136,[1]Лист_1!$A:$C,2,0)</f>
        <v>580508503841</v>
      </c>
      <c r="H136" s="7">
        <v>1</v>
      </c>
      <c r="I136" s="26"/>
    </row>
    <row r="137" spans="1:9" s="13" customFormat="1" ht="35.1" customHeight="1">
      <c r="A137" s="6" t="s">
        <v>678</v>
      </c>
      <c r="B137" s="11" t="s">
        <v>56</v>
      </c>
      <c r="C137" s="12" t="s">
        <v>56</v>
      </c>
      <c r="D137" s="6" t="s">
        <v>417</v>
      </c>
      <c r="E137" s="6" t="s">
        <v>614</v>
      </c>
      <c r="F137" s="6" t="s">
        <v>678</v>
      </c>
      <c r="G137" s="18" t="str">
        <f>+VLOOKUP(F137,[1]Лист_1!$A:$C,2,0)</f>
        <v>771412940792</v>
      </c>
      <c r="H137" s="7">
        <v>1</v>
      </c>
      <c r="I137" s="26"/>
    </row>
    <row r="138" spans="1:9" s="13" customFormat="1" ht="35.1" customHeight="1">
      <c r="A138" s="6" t="s">
        <v>781</v>
      </c>
      <c r="B138" s="11" t="s">
        <v>56</v>
      </c>
      <c r="C138" s="12" t="s">
        <v>56</v>
      </c>
      <c r="D138" s="6" t="s">
        <v>417</v>
      </c>
      <c r="E138" s="6" t="s">
        <v>614</v>
      </c>
      <c r="F138" s="6" t="s">
        <v>781</v>
      </c>
      <c r="G138" s="18" t="str">
        <f>+VLOOKUP(F138,[1]Лист_1!$A:$C,2,0)</f>
        <v>770507568193</v>
      </c>
      <c r="H138" s="7">
        <v>1</v>
      </c>
      <c r="I138" s="26"/>
    </row>
    <row r="139" spans="1:9" s="13" customFormat="1" ht="35.1" customHeight="1">
      <c r="A139" s="6" t="s">
        <v>787</v>
      </c>
      <c r="B139" s="11" t="s">
        <v>56</v>
      </c>
      <c r="C139" s="12" t="s">
        <v>56</v>
      </c>
      <c r="D139" s="6" t="s">
        <v>417</v>
      </c>
      <c r="E139" s="6" t="s">
        <v>614</v>
      </c>
      <c r="F139" s="6" t="s">
        <v>787</v>
      </c>
      <c r="G139" s="18" t="str">
        <f>+VLOOKUP(F139,[1]Лист_1!$A:$C,2,0)</f>
        <v>371122914091</v>
      </c>
      <c r="H139" s="7">
        <v>1</v>
      </c>
      <c r="I139" s="26"/>
    </row>
    <row r="140" spans="1:9" s="13" customFormat="1" ht="35.1" customHeight="1">
      <c r="A140" s="6" t="s">
        <v>95</v>
      </c>
      <c r="B140" s="11" t="s">
        <v>56</v>
      </c>
      <c r="C140" s="12" t="s">
        <v>56</v>
      </c>
      <c r="D140" s="6" t="s">
        <v>417</v>
      </c>
      <c r="E140" s="6" t="s">
        <v>54</v>
      </c>
      <c r="F140" s="6" t="s">
        <v>95</v>
      </c>
      <c r="G140" s="18" t="str">
        <f>+VLOOKUP(F140,[1]Лист_1!$A:$C,2,0)</f>
        <v>531001636555</v>
      </c>
      <c r="H140" s="8">
        <v>1</v>
      </c>
      <c r="I140" s="26"/>
    </row>
    <row r="141" spans="1:9" s="13" customFormat="1" ht="35.1" customHeight="1">
      <c r="A141" s="6" t="s">
        <v>928</v>
      </c>
      <c r="B141" s="11" t="s">
        <v>56</v>
      </c>
      <c r="C141" s="12" t="s">
        <v>56</v>
      </c>
      <c r="D141" s="6" t="s">
        <v>886</v>
      </c>
      <c r="E141" s="6" t="s">
        <v>14</v>
      </c>
      <c r="F141" s="6" t="s">
        <v>953</v>
      </c>
      <c r="G141" s="45">
        <v>772853905779</v>
      </c>
      <c r="H141" s="7">
        <v>0.5</v>
      </c>
      <c r="I141" s="26"/>
    </row>
    <row r="142" spans="1:9" s="13" customFormat="1" ht="35.1" customHeight="1">
      <c r="A142" s="6"/>
      <c r="B142" s="11" t="s">
        <v>56</v>
      </c>
      <c r="C142" s="12" t="s">
        <v>56</v>
      </c>
      <c r="D142" s="6" t="s">
        <v>886</v>
      </c>
      <c r="E142" s="6" t="s">
        <v>14</v>
      </c>
      <c r="F142" s="28" t="s">
        <v>66</v>
      </c>
      <c r="G142" s="18"/>
      <c r="H142" s="7">
        <v>0.5</v>
      </c>
      <c r="I142" s="26"/>
    </row>
    <row r="143" spans="1:9" s="13" customFormat="1" ht="35.1" customHeight="1">
      <c r="A143" s="6" t="s">
        <v>437</v>
      </c>
      <c r="B143" s="11" t="s">
        <v>56</v>
      </c>
      <c r="C143" s="12" t="s">
        <v>56</v>
      </c>
      <c r="D143" s="6" t="s">
        <v>886</v>
      </c>
      <c r="E143" s="6" t="s">
        <v>54</v>
      </c>
      <c r="F143" s="6" t="s">
        <v>437</v>
      </c>
      <c r="G143" s="18" t="str">
        <f>+VLOOKUP(F143,[1]Лист_1!$A:$C,2,0)</f>
        <v>505309086006</v>
      </c>
      <c r="H143" s="7">
        <v>0.5</v>
      </c>
      <c r="I143" s="26"/>
    </row>
    <row r="144" spans="1:9" s="13" customFormat="1" ht="35.1" customHeight="1">
      <c r="A144" s="6" t="s">
        <v>867</v>
      </c>
      <c r="B144" s="11" t="s">
        <v>56</v>
      </c>
      <c r="C144" s="12" t="s">
        <v>56</v>
      </c>
      <c r="D144" s="6" t="s">
        <v>886</v>
      </c>
      <c r="E144" s="6" t="s">
        <v>54</v>
      </c>
      <c r="F144" s="6" t="s">
        <v>867</v>
      </c>
      <c r="G144" s="18" t="str">
        <f>+VLOOKUP(F144,[1]Лист_1!$A:$C,2,0)</f>
        <v>583715185261</v>
      </c>
      <c r="H144" s="7">
        <v>0.5</v>
      </c>
      <c r="I144" s="26"/>
    </row>
    <row r="145" spans="1:9" s="13" customFormat="1" ht="35.1" customHeight="1">
      <c r="A145" s="6" t="s">
        <v>441</v>
      </c>
      <c r="B145" s="11" t="s">
        <v>56</v>
      </c>
      <c r="C145" s="12" t="s">
        <v>56</v>
      </c>
      <c r="D145" s="6" t="s">
        <v>886</v>
      </c>
      <c r="E145" s="6" t="s">
        <v>55</v>
      </c>
      <c r="F145" s="6" t="s">
        <v>441</v>
      </c>
      <c r="G145" s="18" t="str">
        <f>+VLOOKUP(F145,[1]Лист_1!$A:$C,2,0)</f>
        <v>561770351548</v>
      </c>
      <c r="H145" s="7">
        <v>0</v>
      </c>
      <c r="I145" s="26"/>
    </row>
    <row r="146" spans="1:9" s="13" customFormat="1" ht="35.1" customHeight="1">
      <c r="A146" s="6" t="s">
        <v>810</v>
      </c>
      <c r="B146" s="11" t="s">
        <v>56</v>
      </c>
      <c r="C146" s="12" t="s">
        <v>56</v>
      </c>
      <c r="D146" s="6" t="s">
        <v>886</v>
      </c>
      <c r="E146" s="6" t="s">
        <v>55</v>
      </c>
      <c r="F146" s="6" t="s">
        <v>810</v>
      </c>
      <c r="G146" s="18" t="str">
        <f>+VLOOKUP(F146,[1]Лист_1!$A:$C,2,0)</f>
        <v>504017997521</v>
      </c>
      <c r="H146" s="7">
        <v>1</v>
      </c>
      <c r="I146" s="26"/>
    </row>
    <row r="147" spans="1:9" s="13" customFormat="1" ht="35.1" customHeight="1">
      <c r="A147" s="6" t="s">
        <v>839</v>
      </c>
      <c r="B147" s="11" t="s">
        <v>56</v>
      </c>
      <c r="C147" s="12" t="s">
        <v>56</v>
      </c>
      <c r="D147" s="6" t="s">
        <v>886</v>
      </c>
      <c r="E147" s="6" t="s">
        <v>418</v>
      </c>
      <c r="F147" s="6" t="s">
        <v>839</v>
      </c>
      <c r="G147" s="18" t="str">
        <f>+VLOOKUP(F147,[1]Лист_1!$A:$C,2,0)</f>
        <v>773397252224</v>
      </c>
      <c r="H147" s="7">
        <v>1</v>
      </c>
      <c r="I147" s="26"/>
    </row>
    <row r="148" spans="1:9" s="13" customFormat="1" ht="35.1" customHeight="1">
      <c r="A148" s="6" t="s">
        <v>440</v>
      </c>
      <c r="B148" s="11" t="s">
        <v>56</v>
      </c>
      <c r="C148" s="12" t="s">
        <v>56</v>
      </c>
      <c r="D148" s="6" t="s">
        <v>886</v>
      </c>
      <c r="E148" s="6" t="s">
        <v>418</v>
      </c>
      <c r="F148" s="6" t="s">
        <v>440</v>
      </c>
      <c r="G148" s="18" t="str">
        <f>+VLOOKUP(F148,[1]Лист_1!$A:$C,2,0)</f>
        <v>504601783163</v>
      </c>
      <c r="H148" s="7">
        <v>1</v>
      </c>
      <c r="I148" s="26"/>
    </row>
    <row r="149" spans="1:9" s="13" customFormat="1" ht="35.1" customHeight="1">
      <c r="A149" s="6" t="s">
        <v>869</v>
      </c>
      <c r="B149" s="11" t="s">
        <v>56</v>
      </c>
      <c r="C149" s="12" t="s">
        <v>56</v>
      </c>
      <c r="D149" s="6" t="s">
        <v>886</v>
      </c>
      <c r="E149" s="6" t="s">
        <v>418</v>
      </c>
      <c r="F149" s="6" t="s">
        <v>869</v>
      </c>
      <c r="G149" s="18" t="str">
        <f>+VLOOKUP(F149,[1]Лист_1!$A:$C,2,0)</f>
        <v>610205342978</v>
      </c>
      <c r="H149" s="7">
        <v>0.5</v>
      </c>
      <c r="I149" s="26"/>
    </row>
    <row r="150" spans="1:9" s="13" customFormat="1" ht="35.1" customHeight="1">
      <c r="A150" s="6" t="s">
        <v>868</v>
      </c>
      <c r="B150" s="11" t="s">
        <v>56</v>
      </c>
      <c r="C150" s="12" t="s">
        <v>56</v>
      </c>
      <c r="D150" s="6" t="s">
        <v>886</v>
      </c>
      <c r="E150" s="6" t="s">
        <v>418</v>
      </c>
      <c r="F150" s="6" t="s">
        <v>868</v>
      </c>
      <c r="G150" s="18" t="str">
        <f>+VLOOKUP(F150,[1]Лист_1!$A:$C,2,0)</f>
        <v>772392800267</v>
      </c>
      <c r="H150" s="7">
        <v>0.5</v>
      </c>
      <c r="I150" s="26"/>
    </row>
    <row r="151" spans="1:9" s="13" customFormat="1" ht="35.1" customHeight="1">
      <c r="A151" s="6" t="s">
        <v>443</v>
      </c>
      <c r="B151" s="11" t="s">
        <v>56</v>
      </c>
      <c r="C151" s="12" t="s">
        <v>56</v>
      </c>
      <c r="D151" s="6" t="s">
        <v>420</v>
      </c>
      <c r="E151" s="6" t="s">
        <v>14</v>
      </c>
      <c r="F151" s="28" t="s">
        <v>66</v>
      </c>
      <c r="G151" s="18"/>
      <c r="H151" s="7">
        <v>1</v>
      </c>
      <c r="I151" s="26"/>
    </row>
    <row r="152" spans="1:9" s="13" customFormat="1" ht="35.1" customHeight="1">
      <c r="A152" s="6" t="s">
        <v>846</v>
      </c>
      <c r="B152" s="11" t="s">
        <v>56</v>
      </c>
      <c r="C152" s="12" t="s">
        <v>56</v>
      </c>
      <c r="D152" s="6" t="s">
        <v>420</v>
      </c>
      <c r="E152" s="6" t="s">
        <v>54</v>
      </c>
      <c r="F152" s="6" t="s">
        <v>846</v>
      </c>
      <c r="G152" s="18" t="str">
        <f>+VLOOKUP(F152,[1]Лист_1!$A:$C,2,0)</f>
        <v>503128663018</v>
      </c>
      <c r="H152" s="7">
        <v>1</v>
      </c>
      <c r="I152" s="26"/>
    </row>
    <row r="153" spans="1:9" s="13" customFormat="1" ht="35.1" customHeight="1">
      <c r="A153" s="6" t="s">
        <v>442</v>
      </c>
      <c r="B153" s="11" t="s">
        <v>56</v>
      </c>
      <c r="C153" s="12" t="s">
        <v>56</v>
      </c>
      <c r="D153" s="6" t="s">
        <v>420</v>
      </c>
      <c r="E153" s="6" t="s">
        <v>55</v>
      </c>
      <c r="F153" s="6" t="s">
        <v>442</v>
      </c>
      <c r="G153" s="18" t="str">
        <f>+VLOOKUP(F153,[1]Лист_1!$A:$C,2,0)</f>
        <v>770171322749</v>
      </c>
      <c r="H153" s="7">
        <v>1</v>
      </c>
      <c r="I153" s="26"/>
    </row>
    <row r="154" spans="1:9" s="13" customFormat="1" ht="35.1" customHeight="1">
      <c r="A154" s="6" t="s">
        <v>796</v>
      </c>
      <c r="B154" s="11" t="s">
        <v>56</v>
      </c>
      <c r="C154" s="12" t="s">
        <v>56</v>
      </c>
      <c r="D154" s="6" t="s">
        <v>420</v>
      </c>
      <c r="E154" s="6" t="s">
        <v>55</v>
      </c>
      <c r="F154" s="6" t="s">
        <v>796</v>
      </c>
      <c r="G154" s="18" t="str">
        <f>+VLOOKUP(F154,[1]Лист_1!$A:$C,2,0)</f>
        <v>614026571633</v>
      </c>
      <c r="H154" s="7">
        <v>1</v>
      </c>
      <c r="I154" s="26"/>
    </row>
    <row r="155" spans="1:9" s="13" customFormat="1" ht="35.1" customHeight="1">
      <c r="A155" s="6" t="s">
        <v>850</v>
      </c>
      <c r="B155" s="11" t="s">
        <v>56</v>
      </c>
      <c r="C155" s="12" t="s">
        <v>56</v>
      </c>
      <c r="D155" s="6" t="s">
        <v>420</v>
      </c>
      <c r="E155" s="6" t="s">
        <v>55</v>
      </c>
      <c r="F155" s="6" t="s">
        <v>850</v>
      </c>
      <c r="G155" s="18" t="str">
        <f>+VLOOKUP(F155,[1]Лист_1!$A:$C,2,0)</f>
        <v>774362036707</v>
      </c>
      <c r="H155" s="7">
        <v>0.5</v>
      </c>
      <c r="I155" s="26"/>
    </row>
    <row r="156" spans="1:9" s="13" customFormat="1" ht="35.1" customHeight="1">
      <c r="A156" s="28" t="s">
        <v>310</v>
      </c>
      <c r="B156" s="11" t="s">
        <v>56</v>
      </c>
      <c r="C156" s="12" t="s">
        <v>56</v>
      </c>
      <c r="D156" s="6" t="s">
        <v>420</v>
      </c>
      <c r="E156" s="6" t="s">
        <v>55</v>
      </c>
      <c r="F156" s="28" t="s">
        <v>66</v>
      </c>
      <c r="G156" s="18"/>
      <c r="H156" s="7">
        <v>0.5</v>
      </c>
      <c r="I156" s="26"/>
    </row>
    <row r="157" spans="1:9" s="13" customFormat="1" ht="35.1" customHeight="1">
      <c r="A157" s="28" t="s">
        <v>310</v>
      </c>
      <c r="B157" s="11" t="s">
        <v>56</v>
      </c>
      <c r="C157" s="12" t="s">
        <v>56</v>
      </c>
      <c r="D157" s="6" t="s">
        <v>420</v>
      </c>
      <c r="E157" s="6" t="s">
        <v>55</v>
      </c>
      <c r="F157" s="29" t="s">
        <v>954</v>
      </c>
      <c r="G157" s="46">
        <v>772456588918</v>
      </c>
      <c r="H157" s="7">
        <v>1</v>
      </c>
      <c r="I157" s="26"/>
    </row>
    <row r="158" spans="1:9" s="13" customFormat="1" ht="35.1" customHeight="1">
      <c r="A158" s="6" t="s">
        <v>438</v>
      </c>
      <c r="B158" s="11" t="s">
        <v>56</v>
      </c>
      <c r="C158" s="12" t="s">
        <v>56</v>
      </c>
      <c r="D158" s="6" t="s">
        <v>887</v>
      </c>
      <c r="E158" s="6" t="s">
        <v>26</v>
      </c>
      <c r="F158" s="6" t="s">
        <v>438</v>
      </c>
      <c r="G158" s="18" t="str">
        <f>+VLOOKUP(F158,[1]Лист_1!$A:$C,2,0)</f>
        <v>501817296209</v>
      </c>
      <c r="H158" s="7">
        <v>1</v>
      </c>
      <c r="I158" s="26"/>
    </row>
    <row r="159" spans="1:9" s="13" customFormat="1" ht="35.1" customHeight="1">
      <c r="A159" s="6" t="s">
        <v>682</v>
      </c>
      <c r="B159" s="11" t="s">
        <v>56</v>
      </c>
      <c r="C159" s="12" t="s">
        <v>56</v>
      </c>
      <c r="D159" s="6" t="s">
        <v>887</v>
      </c>
      <c r="E159" s="6" t="s">
        <v>419</v>
      </c>
      <c r="F159" s="6" t="s">
        <v>682</v>
      </c>
      <c r="G159" s="18" t="str">
        <f>+VLOOKUP(F159,[1]Лист_1!$A:$C,2,0)</f>
        <v>132610943805</v>
      </c>
      <c r="H159" s="7">
        <v>0.5</v>
      </c>
      <c r="I159" s="26"/>
    </row>
    <row r="160" spans="1:9" s="13" customFormat="1" ht="35.1" customHeight="1">
      <c r="A160" s="28" t="s">
        <v>310</v>
      </c>
      <c r="B160" s="11" t="s">
        <v>56</v>
      </c>
      <c r="C160" s="12" t="s">
        <v>56</v>
      </c>
      <c r="D160" s="6" t="s">
        <v>887</v>
      </c>
      <c r="E160" s="6" t="s">
        <v>419</v>
      </c>
      <c r="F160" s="28" t="s">
        <v>66</v>
      </c>
      <c r="G160" s="18"/>
      <c r="H160" s="7">
        <v>0.5</v>
      </c>
      <c r="I160" s="26"/>
    </row>
    <row r="161" spans="1:9" s="13" customFormat="1" ht="35.1" customHeight="1">
      <c r="A161" s="29" t="s">
        <v>939</v>
      </c>
      <c r="B161" s="11" t="s">
        <v>56</v>
      </c>
      <c r="C161" s="12" t="s">
        <v>56</v>
      </c>
      <c r="D161" s="6" t="s">
        <v>887</v>
      </c>
      <c r="E161" s="6" t="s">
        <v>419</v>
      </c>
      <c r="F161" s="29" t="s">
        <v>939</v>
      </c>
      <c r="G161" s="18" t="str">
        <f>+VLOOKUP(F161,[1]Лист_1!$A:$C,2,0)</f>
        <v>507306282302</v>
      </c>
      <c r="H161" s="7">
        <v>1</v>
      </c>
      <c r="I161" s="26"/>
    </row>
    <row r="162" spans="1:9" s="13" customFormat="1" ht="35.1" customHeight="1">
      <c r="A162" s="19" t="s">
        <v>25</v>
      </c>
      <c r="B162" s="11" t="s">
        <v>56</v>
      </c>
      <c r="C162" s="12" t="s">
        <v>56</v>
      </c>
      <c r="D162" s="6" t="s">
        <v>303</v>
      </c>
      <c r="E162" s="6" t="s">
        <v>304</v>
      </c>
      <c r="F162" s="28" t="s">
        <v>66</v>
      </c>
      <c r="G162" s="18"/>
      <c r="H162" s="7">
        <v>1</v>
      </c>
      <c r="I162" s="26"/>
    </row>
    <row r="163" spans="1:9" s="13" customFormat="1" ht="35.1" customHeight="1">
      <c r="A163" s="6" t="s">
        <v>358</v>
      </c>
      <c r="B163" s="11" t="s">
        <v>56</v>
      </c>
      <c r="C163" s="12" t="s">
        <v>56</v>
      </c>
      <c r="D163" s="6" t="s">
        <v>303</v>
      </c>
      <c r="E163" s="6" t="s">
        <v>139</v>
      </c>
      <c r="F163" s="6" t="s">
        <v>358</v>
      </c>
      <c r="G163" s="18" t="str">
        <f>+VLOOKUP(F163,[1]Лист_1!$A:$C,2,0)</f>
        <v>025607557845</v>
      </c>
      <c r="H163" s="7">
        <v>1</v>
      </c>
      <c r="I163" s="26"/>
    </row>
    <row r="164" spans="1:9" s="13" customFormat="1" ht="35.1" customHeight="1">
      <c r="A164" s="6" t="s">
        <v>359</v>
      </c>
      <c r="B164" s="11" t="s">
        <v>56</v>
      </c>
      <c r="C164" s="12" t="s">
        <v>56</v>
      </c>
      <c r="D164" s="6" t="s">
        <v>303</v>
      </c>
      <c r="E164" s="6" t="s">
        <v>719</v>
      </c>
      <c r="F164" s="6" t="s">
        <v>359</v>
      </c>
      <c r="G164" s="18" t="str">
        <f>+VLOOKUP(F164,[1]Лист_1!$A:$C,2,0)</f>
        <v>503012425663</v>
      </c>
      <c r="H164" s="7">
        <v>1</v>
      </c>
      <c r="I164" s="26"/>
    </row>
    <row r="165" spans="1:9" s="13" customFormat="1" ht="35.1" customHeight="1">
      <c r="A165" s="29" t="s">
        <v>767</v>
      </c>
      <c r="B165" s="11" t="s">
        <v>56</v>
      </c>
      <c r="C165" s="12" t="s">
        <v>56</v>
      </c>
      <c r="D165" s="6" t="s">
        <v>303</v>
      </c>
      <c r="E165" s="6" t="s">
        <v>719</v>
      </c>
      <c r="F165" s="29" t="s">
        <v>767</v>
      </c>
      <c r="G165" s="18" t="str">
        <f>+VLOOKUP(F165,[1]Лист_1!$A:$C,2,0)</f>
        <v>781619297550</v>
      </c>
      <c r="H165" s="7">
        <v>1</v>
      </c>
      <c r="I165" s="26"/>
    </row>
    <row r="166" spans="1:9" s="13" customFormat="1" ht="35.1" customHeight="1">
      <c r="A166" s="6" t="s">
        <v>598</v>
      </c>
      <c r="B166" s="11" t="s">
        <v>56</v>
      </c>
      <c r="C166" s="12" t="s">
        <v>56</v>
      </c>
      <c r="D166" s="6" t="s">
        <v>732</v>
      </c>
      <c r="E166" s="6" t="s">
        <v>12</v>
      </c>
      <c r="F166" s="6" t="s">
        <v>598</v>
      </c>
      <c r="G166" s="18" t="str">
        <f>+VLOOKUP(F166,[1]Лист_1!$A:$C,2,0)</f>
        <v>550728791593</v>
      </c>
      <c r="H166" s="7">
        <v>1</v>
      </c>
      <c r="I166" s="26"/>
    </row>
    <row r="167" spans="1:9" s="13" customFormat="1" ht="35.1" customHeight="1">
      <c r="A167" s="6" t="s">
        <v>424</v>
      </c>
      <c r="B167" s="11" t="s">
        <v>56</v>
      </c>
      <c r="C167" s="12" t="s">
        <v>56</v>
      </c>
      <c r="D167" s="6" t="s">
        <v>413</v>
      </c>
      <c r="E167" s="6" t="s">
        <v>14</v>
      </c>
      <c r="F167" s="6" t="s">
        <v>424</v>
      </c>
      <c r="G167" s="18" t="str">
        <f>+VLOOKUP(F167,[1]Лист_1!$A:$C,2,0)</f>
        <v>771612658232</v>
      </c>
      <c r="H167" s="7">
        <v>1</v>
      </c>
      <c r="I167" s="26"/>
    </row>
    <row r="168" spans="1:9" s="13" customFormat="1" ht="35.1" customHeight="1">
      <c r="A168" s="6" t="s">
        <v>826</v>
      </c>
      <c r="B168" s="11" t="s">
        <v>56</v>
      </c>
      <c r="C168" s="12" t="s">
        <v>56</v>
      </c>
      <c r="D168" s="6" t="s">
        <v>413</v>
      </c>
      <c r="E168" s="6" t="s">
        <v>634</v>
      </c>
      <c r="F168" s="6" t="s">
        <v>826</v>
      </c>
      <c r="G168" s="18" t="str">
        <f>+VLOOKUP(F168,[1]Лист_1!$A:$C,2,0)</f>
        <v>771549095303</v>
      </c>
      <c r="H168" s="7">
        <v>1</v>
      </c>
      <c r="I168" s="26"/>
    </row>
    <row r="169" spans="1:9" s="13" customFormat="1" ht="35.1" customHeight="1">
      <c r="A169" s="6" t="s">
        <v>426</v>
      </c>
      <c r="B169" s="11" t="s">
        <v>56</v>
      </c>
      <c r="C169" s="12" t="s">
        <v>56</v>
      </c>
      <c r="D169" s="6" t="s">
        <v>413</v>
      </c>
      <c r="E169" s="6" t="s">
        <v>137</v>
      </c>
      <c r="F169" s="6" t="s">
        <v>426</v>
      </c>
      <c r="G169" s="18" t="str">
        <f>+VLOOKUP(F169,[1]Лист_1!$A:$C,2,0)</f>
        <v>502715719094</v>
      </c>
      <c r="H169" s="7">
        <v>1</v>
      </c>
      <c r="I169" s="26"/>
    </row>
    <row r="170" spans="1:9" s="13" customFormat="1" ht="35.1" customHeight="1">
      <c r="A170" s="6" t="s">
        <v>797</v>
      </c>
      <c r="B170" s="11" t="s">
        <v>56</v>
      </c>
      <c r="C170" s="12" t="s">
        <v>56</v>
      </c>
      <c r="D170" s="6" t="s">
        <v>413</v>
      </c>
      <c r="E170" s="6" t="s">
        <v>137</v>
      </c>
      <c r="F170" s="6" t="s">
        <v>797</v>
      </c>
      <c r="G170" s="18" t="str">
        <f>+VLOOKUP(F170,[1]Лист_1!$A:$C,2,0)</f>
        <v>502409668330</v>
      </c>
      <c r="H170" s="7">
        <v>1</v>
      </c>
      <c r="I170" s="26"/>
    </row>
    <row r="171" spans="1:9" s="13" customFormat="1" ht="35.1" customHeight="1">
      <c r="A171" s="29" t="s">
        <v>746</v>
      </c>
      <c r="B171" s="11" t="s">
        <v>56</v>
      </c>
      <c r="C171" s="12" t="s">
        <v>56</v>
      </c>
      <c r="D171" s="6" t="s">
        <v>413</v>
      </c>
      <c r="E171" s="6" t="s">
        <v>137</v>
      </c>
      <c r="F171" s="29" t="s">
        <v>746</v>
      </c>
      <c r="G171" s="18" t="str">
        <f>+VLOOKUP(F171,[1]Лист_1!$A:$C,2,0)</f>
        <v>505019257073</v>
      </c>
      <c r="H171" s="7">
        <v>1</v>
      </c>
      <c r="I171" s="26"/>
    </row>
    <row r="172" spans="1:9" s="13" customFormat="1" ht="35.1" customHeight="1">
      <c r="A172" s="29" t="s">
        <v>733</v>
      </c>
      <c r="B172" s="11" t="s">
        <v>56</v>
      </c>
      <c r="C172" s="12" t="s">
        <v>56</v>
      </c>
      <c r="D172" s="6" t="s">
        <v>413</v>
      </c>
      <c r="E172" s="6" t="s">
        <v>137</v>
      </c>
      <c r="F172" s="29" t="s">
        <v>733</v>
      </c>
      <c r="G172" s="18" t="str">
        <f>+VLOOKUP(F172,[1]Лист_1!$A:$C,2,0)</f>
        <v>770508344573</v>
      </c>
      <c r="H172" s="7">
        <v>1</v>
      </c>
      <c r="I172" s="26"/>
    </row>
    <row r="173" spans="1:9" s="13" customFormat="1" ht="35.1" customHeight="1">
      <c r="A173" s="6" t="s">
        <v>425</v>
      </c>
      <c r="B173" s="11" t="s">
        <v>56</v>
      </c>
      <c r="C173" s="12" t="s">
        <v>56</v>
      </c>
      <c r="D173" s="6" t="s">
        <v>413</v>
      </c>
      <c r="E173" s="6" t="s">
        <v>414</v>
      </c>
      <c r="F173" s="6" t="s">
        <v>425</v>
      </c>
      <c r="G173" s="18" t="str">
        <f>+VLOOKUP(F173,[1]Лист_1!$A:$C,2,0)</f>
        <v>772371522202</v>
      </c>
      <c r="H173" s="7">
        <v>1</v>
      </c>
      <c r="I173" s="26"/>
    </row>
    <row r="174" spans="1:9" s="13" customFormat="1" ht="35.1" customHeight="1">
      <c r="A174" s="6" t="s">
        <v>679</v>
      </c>
      <c r="B174" s="11" t="s">
        <v>56</v>
      </c>
      <c r="C174" s="12" t="s">
        <v>56</v>
      </c>
      <c r="D174" s="6" t="s">
        <v>413</v>
      </c>
      <c r="E174" s="6" t="s">
        <v>414</v>
      </c>
      <c r="F174" s="6" t="s">
        <v>679</v>
      </c>
      <c r="G174" s="18" t="str">
        <f>+VLOOKUP(F174,[1]Лист_1!$A:$C,2,0)</f>
        <v>501214619851</v>
      </c>
      <c r="H174" s="7">
        <v>1</v>
      </c>
      <c r="I174" s="26"/>
    </row>
    <row r="175" spans="1:9" s="13" customFormat="1" ht="35.1" customHeight="1">
      <c r="A175" s="6" t="s">
        <v>429</v>
      </c>
      <c r="B175" s="11" t="s">
        <v>56</v>
      </c>
      <c r="C175" s="12" t="s">
        <v>56</v>
      </c>
      <c r="D175" s="6" t="s">
        <v>415</v>
      </c>
      <c r="E175" s="6" t="s">
        <v>715</v>
      </c>
      <c r="F175" s="6" t="s">
        <v>429</v>
      </c>
      <c r="G175" s="18" t="str">
        <f>+VLOOKUP(F175,[1]Лист_1!$A:$C,2,0)</f>
        <v>500915174052</v>
      </c>
      <c r="H175" s="7">
        <v>1</v>
      </c>
      <c r="I175" s="26"/>
    </row>
    <row r="176" spans="1:9" s="13" customFormat="1" ht="35.1" customHeight="1">
      <c r="A176" s="6" t="s">
        <v>786</v>
      </c>
      <c r="B176" s="11" t="s">
        <v>56</v>
      </c>
      <c r="C176" s="12" t="s">
        <v>56</v>
      </c>
      <c r="D176" s="6" t="s">
        <v>415</v>
      </c>
      <c r="E176" s="6" t="s">
        <v>634</v>
      </c>
      <c r="F176" s="6" t="s">
        <v>786</v>
      </c>
      <c r="G176" s="18" t="str">
        <f>+VLOOKUP(F176,[1]Лист_1!$A:$C,2,0)</f>
        <v>263606427512</v>
      </c>
      <c r="H176" s="7">
        <v>1</v>
      </c>
      <c r="I176" s="26"/>
    </row>
    <row r="177" spans="1:9" s="13" customFormat="1" ht="35.1" customHeight="1">
      <c r="A177" s="6" t="s">
        <v>427</v>
      </c>
      <c r="B177" s="11" t="s">
        <v>56</v>
      </c>
      <c r="C177" s="12" t="s">
        <v>56</v>
      </c>
      <c r="D177" s="6" t="s">
        <v>415</v>
      </c>
      <c r="E177" s="6" t="s">
        <v>634</v>
      </c>
      <c r="F177" s="6" t="s">
        <v>427</v>
      </c>
      <c r="G177" s="18" t="str">
        <f>+VLOOKUP(F177,[1]Лист_1!$A:$C,2,0)</f>
        <v>771575035533</v>
      </c>
      <c r="H177" s="7">
        <v>0.5</v>
      </c>
      <c r="I177" s="26"/>
    </row>
    <row r="178" spans="1:9" s="13" customFormat="1" ht="35.1" customHeight="1">
      <c r="A178" s="6" t="s">
        <v>428</v>
      </c>
      <c r="B178" s="11" t="s">
        <v>56</v>
      </c>
      <c r="C178" s="12" t="s">
        <v>56</v>
      </c>
      <c r="D178" s="6" t="s">
        <v>415</v>
      </c>
      <c r="E178" s="6" t="s">
        <v>634</v>
      </c>
      <c r="F178" s="6" t="s">
        <v>428</v>
      </c>
      <c r="G178" s="18" t="str">
        <f>+VLOOKUP(F178,[1]Лист_1!$A:$C,2,0)</f>
        <v>312327447557</v>
      </c>
      <c r="H178" s="7">
        <v>0.5</v>
      </c>
      <c r="I178" s="26"/>
    </row>
    <row r="179" spans="1:9" s="13" customFormat="1" ht="35.1" customHeight="1">
      <c r="B179" s="44"/>
      <c r="C179" s="44"/>
      <c r="D179" s="44"/>
      <c r="E179" s="44"/>
      <c r="F179" s="51"/>
      <c r="G179" s="44" t="e">
        <f>+VLOOKUP(F179,[1]Лист_1!$A:$C,2,0)</f>
        <v>#N/A</v>
      </c>
      <c r="H179" s="14">
        <f>SUM(H19:H178)</f>
        <v>144</v>
      </c>
      <c r="I179" s="37"/>
    </row>
    <row r="180" spans="1:9" s="13" customFormat="1" ht="35.1" customHeight="1">
      <c r="A180" s="18" t="s">
        <v>576</v>
      </c>
      <c r="B180" s="11" t="s">
        <v>257</v>
      </c>
      <c r="C180" s="12" t="s">
        <v>257</v>
      </c>
      <c r="D180" s="6" t="s">
        <v>590</v>
      </c>
      <c r="E180" s="18" t="s">
        <v>154</v>
      </c>
      <c r="F180" s="6" t="s">
        <v>576</v>
      </c>
      <c r="G180" s="18" t="str">
        <f>+VLOOKUP(F180,[1]Лист_1!$A:$C,2,0)</f>
        <v>771577217521</v>
      </c>
      <c r="H180" s="20">
        <v>1</v>
      </c>
      <c r="I180" s="26"/>
    </row>
    <row r="181" spans="1:9" s="13" customFormat="1" ht="35.1" customHeight="1">
      <c r="A181" s="18" t="s">
        <v>156</v>
      </c>
      <c r="B181" s="11" t="s">
        <v>257</v>
      </c>
      <c r="C181" s="12" t="s">
        <v>257</v>
      </c>
      <c r="D181" s="6" t="s">
        <v>590</v>
      </c>
      <c r="E181" s="18" t="s">
        <v>155</v>
      </c>
      <c r="F181" s="6" t="s">
        <v>156</v>
      </c>
      <c r="G181" s="18" t="str">
        <f>+VLOOKUP(F181,[1]Лист_1!$A:$C,2,0)</f>
        <v>230602881343</v>
      </c>
      <c r="H181" s="20">
        <v>1</v>
      </c>
      <c r="I181" s="26"/>
    </row>
    <row r="182" spans="1:9" s="13" customFormat="1" ht="35.1" customHeight="1">
      <c r="A182" s="18" t="s">
        <v>157</v>
      </c>
      <c r="B182" s="11" t="s">
        <v>257</v>
      </c>
      <c r="C182" s="12" t="s">
        <v>257</v>
      </c>
      <c r="D182" s="6" t="s">
        <v>638</v>
      </c>
      <c r="E182" s="18" t="s">
        <v>12</v>
      </c>
      <c r="F182" s="6" t="s">
        <v>157</v>
      </c>
      <c r="G182" s="18" t="str">
        <f>+VLOOKUP(F182,[1]Лист_1!$A:$C,2,0)</f>
        <v>770501030169</v>
      </c>
      <c r="H182" s="20">
        <v>1</v>
      </c>
      <c r="I182" s="26"/>
    </row>
    <row r="183" spans="1:9" s="13" customFormat="1" ht="35.1" customHeight="1">
      <c r="A183" s="31" t="s">
        <v>788</v>
      </c>
      <c r="B183" s="11" t="s">
        <v>257</v>
      </c>
      <c r="C183" s="12" t="s">
        <v>257</v>
      </c>
      <c r="D183" s="6" t="s">
        <v>593</v>
      </c>
      <c r="E183" s="18" t="s">
        <v>14</v>
      </c>
      <c r="F183" s="29" t="s">
        <v>788</v>
      </c>
      <c r="G183" s="18" t="str">
        <f>+VLOOKUP(F183,[1]Лист_1!$A:$C,2,0)</f>
        <v>772370410545</v>
      </c>
      <c r="H183" s="20">
        <v>1</v>
      </c>
      <c r="I183" s="26"/>
    </row>
    <row r="184" spans="1:9" s="13" customFormat="1" ht="35.1" customHeight="1">
      <c r="A184" s="18" t="s">
        <v>158</v>
      </c>
      <c r="B184" s="11" t="s">
        <v>257</v>
      </c>
      <c r="C184" s="12" t="s">
        <v>257</v>
      </c>
      <c r="D184" s="6" t="s">
        <v>593</v>
      </c>
      <c r="E184" s="18" t="s">
        <v>15</v>
      </c>
      <c r="F184" s="6" t="s">
        <v>158</v>
      </c>
      <c r="G184" s="18" t="str">
        <f>+VLOOKUP(F184,[1]Лист_1!$A:$C,2,0)</f>
        <v>231850448957</v>
      </c>
      <c r="H184" s="20">
        <v>1</v>
      </c>
      <c r="I184" s="26"/>
    </row>
    <row r="185" spans="1:9" s="13" customFormat="1" ht="35.1" customHeight="1">
      <c r="A185" s="18" t="s">
        <v>167</v>
      </c>
      <c r="B185" s="11" t="s">
        <v>257</v>
      </c>
      <c r="C185" s="12" t="s">
        <v>257</v>
      </c>
      <c r="D185" s="6" t="s">
        <v>593</v>
      </c>
      <c r="E185" s="18" t="s">
        <v>74</v>
      </c>
      <c r="F185" s="6" t="s">
        <v>167</v>
      </c>
      <c r="G185" s="18" t="str">
        <f>+VLOOKUP(F185,[1]Лист_1!$A:$C,2,0)</f>
        <v>744300802409</v>
      </c>
      <c r="H185" s="20">
        <v>1</v>
      </c>
      <c r="I185" s="26"/>
    </row>
    <row r="186" spans="1:9" s="13" customFormat="1" ht="35.1" customHeight="1">
      <c r="A186" s="18" t="s">
        <v>168</v>
      </c>
      <c r="B186" s="11" t="s">
        <v>257</v>
      </c>
      <c r="C186" s="12" t="s">
        <v>257</v>
      </c>
      <c r="D186" s="6" t="s">
        <v>593</v>
      </c>
      <c r="E186" s="18" t="s">
        <v>74</v>
      </c>
      <c r="F186" s="6" t="s">
        <v>168</v>
      </c>
      <c r="G186" s="18" t="str">
        <f>+VLOOKUP(F186,[1]Лист_1!$A:$C,2,0)</f>
        <v>502415675819</v>
      </c>
      <c r="H186" s="20">
        <v>1</v>
      </c>
      <c r="I186" s="26"/>
    </row>
    <row r="187" spans="1:9" s="13" customFormat="1" ht="35.1" customHeight="1">
      <c r="A187" s="18" t="s">
        <v>164</v>
      </c>
      <c r="B187" s="11" t="s">
        <v>257</v>
      </c>
      <c r="C187" s="12" t="s">
        <v>257</v>
      </c>
      <c r="D187" s="6" t="s">
        <v>593</v>
      </c>
      <c r="E187" s="18" t="s">
        <v>74</v>
      </c>
      <c r="F187" s="6" t="s">
        <v>164</v>
      </c>
      <c r="G187" s="18" t="str">
        <f>+VLOOKUP(F187,[1]Лист_1!$A:$C,2,0)</f>
        <v>143538001189</v>
      </c>
      <c r="H187" s="20">
        <v>1</v>
      </c>
      <c r="I187" s="26"/>
    </row>
    <row r="188" spans="1:9" s="13" customFormat="1" ht="35.1" customHeight="1">
      <c r="A188" s="18" t="s">
        <v>163</v>
      </c>
      <c r="B188" s="11" t="s">
        <v>257</v>
      </c>
      <c r="C188" s="12" t="s">
        <v>257</v>
      </c>
      <c r="D188" s="6" t="s">
        <v>593</v>
      </c>
      <c r="E188" s="18" t="s">
        <v>74</v>
      </c>
      <c r="F188" s="6" t="s">
        <v>163</v>
      </c>
      <c r="G188" s="18" t="str">
        <f>+VLOOKUP(F188,[1]Лист_1!$A:$C,2,0)</f>
        <v>710311583865</v>
      </c>
      <c r="H188" s="20">
        <v>1</v>
      </c>
      <c r="I188" s="26"/>
    </row>
    <row r="189" spans="1:9" s="13" customFormat="1" ht="35.1" customHeight="1">
      <c r="A189" s="18" t="s">
        <v>641</v>
      </c>
      <c r="B189" s="11" t="s">
        <v>257</v>
      </c>
      <c r="C189" s="12" t="s">
        <v>257</v>
      </c>
      <c r="D189" s="6" t="s">
        <v>593</v>
      </c>
      <c r="E189" s="18" t="s">
        <v>74</v>
      </c>
      <c r="F189" s="6" t="s">
        <v>641</v>
      </c>
      <c r="G189" s="18" t="str">
        <f>+VLOOKUP(F189,[1]Лист_1!$A:$C,2,0)</f>
        <v>524610656936</v>
      </c>
      <c r="H189" s="20">
        <v>1</v>
      </c>
      <c r="I189" s="26"/>
    </row>
    <row r="190" spans="1:9" s="13" customFormat="1" ht="35.1" customHeight="1">
      <c r="A190" s="31" t="s">
        <v>658</v>
      </c>
      <c r="B190" s="11" t="s">
        <v>257</v>
      </c>
      <c r="C190" s="12" t="s">
        <v>257</v>
      </c>
      <c r="D190" s="6" t="s">
        <v>593</v>
      </c>
      <c r="E190" s="18" t="s">
        <v>74</v>
      </c>
      <c r="F190" s="29" t="s">
        <v>658</v>
      </c>
      <c r="G190" s="18" t="str">
        <f>+VLOOKUP(F190,[1]Лист_1!$A:$C,2,0)</f>
        <v>110316799903</v>
      </c>
      <c r="H190" s="20">
        <v>1</v>
      </c>
      <c r="I190" s="26"/>
    </row>
    <row r="191" spans="1:9" s="13" customFormat="1" ht="35.1" customHeight="1">
      <c r="A191" s="31" t="s">
        <v>665</v>
      </c>
      <c r="B191" s="11" t="s">
        <v>257</v>
      </c>
      <c r="C191" s="12" t="s">
        <v>257</v>
      </c>
      <c r="D191" s="6" t="s">
        <v>593</v>
      </c>
      <c r="E191" s="18" t="s">
        <v>591</v>
      </c>
      <c r="F191" s="29" t="s">
        <v>665</v>
      </c>
      <c r="G191" s="18" t="str">
        <f>+VLOOKUP(F191,[1]Лист_1!$A:$C,2,0)</f>
        <v>501711006005</v>
      </c>
      <c r="H191" s="20">
        <v>1</v>
      </c>
      <c r="I191" s="26"/>
    </row>
    <row r="192" spans="1:9" s="13" customFormat="1" ht="35.1" customHeight="1">
      <c r="A192" s="31" t="s">
        <v>653</v>
      </c>
      <c r="B192" s="11" t="s">
        <v>257</v>
      </c>
      <c r="C192" s="12" t="s">
        <v>257</v>
      </c>
      <c r="D192" s="6" t="s">
        <v>593</v>
      </c>
      <c r="E192" s="18" t="s">
        <v>591</v>
      </c>
      <c r="F192" s="29" t="s">
        <v>653</v>
      </c>
      <c r="G192" s="18" t="str">
        <f>+VLOOKUP(F192,[1]Лист_1!$A:$C,2,0)</f>
        <v>504229185602</v>
      </c>
      <c r="H192" s="20">
        <v>1</v>
      </c>
      <c r="I192" s="26"/>
    </row>
    <row r="193" spans="1:9" s="13" customFormat="1" ht="35.1" customHeight="1">
      <c r="A193" s="31" t="s">
        <v>738</v>
      </c>
      <c r="B193" s="11" t="s">
        <v>257</v>
      </c>
      <c r="C193" s="12" t="s">
        <v>257</v>
      </c>
      <c r="D193" s="6" t="s">
        <v>592</v>
      </c>
      <c r="E193" s="18" t="s">
        <v>14</v>
      </c>
      <c r="F193" s="29" t="s">
        <v>738</v>
      </c>
      <c r="G193" s="18" t="str">
        <f>+VLOOKUP(F193,[1]Лист_1!$A:$C,2,0)</f>
        <v>504017787605</v>
      </c>
      <c r="H193" s="20">
        <v>1</v>
      </c>
      <c r="I193" s="26"/>
    </row>
    <row r="194" spans="1:9" s="13" customFormat="1" ht="35.1" customHeight="1">
      <c r="A194" s="19" t="s">
        <v>25</v>
      </c>
      <c r="B194" s="11" t="s">
        <v>257</v>
      </c>
      <c r="C194" s="12" t="s">
        <v>257</v>
      </c>
      <c r="D194" s="6" t="s">
        <v>592</v>
      </c>
      <c r="E194" s="18" t="s">
        <v>15</v>
      </c>
      <c r="F194" s="28" t="s">
        <v>66</v>
      </c>
      <c r="G194" s="18"/>
      <c r="H194" s="20">
        <v>1</v>
      </c>
      <c r="I194" s="26"/>
    </row>
    <row r="195" spans="1:9" s="13" customFormat="1" ht="35.1" customHeight="1">
      <c r="A195" s="19" t="s">
        <v>66</v>
      </c>
      <c r="B195" s="11" t="s">
        <v>257</v>
      </c>
      <c r="C195" s="12" t="s">
        <v>257</v>
      </c>
      <c r="D195" s="6" t="s">
        <v>592</v>
      </c>
      <c r="E195" s="18" t="s">
        <v>74</v>
      </c>
      <c r="F195" s="28" t="s">
        <v>66</v>
      </c>
      <c r="G195" s="18"/>
      <c r="H195" s="21">
        <v>1</v>
      </c>
      <c r="I195" s="26"/>
    </row>
    <row r="196" spans="1:9" s="13" customFormat="1" ht="35.1" customHeight="1">
      <c r="A196" s="31" t="s">
        <v>770</v>
      </c>
      <c r="B196" s="11" t="s">
        <v>257</v>
      </c>
      <c r="C196" s="12" t="s">
        <v>257</v>
      </c>
      <c r="D196" s="6" t="s">
        <v>592</v>
      </c>
      <c r="E196" s="18" t="s">
        <v>74</v>
      </c>
      <c r="F196" s="29" t="s">
        <v>770</v>
      </c>
      <c r="G196" s="18" t="str">
        <f>+VLOOKUP(F196,[1]Лист_1!$A:$C,2,0)</f>
        <v>772345243428</v>
      </c>
      <c r="H196" s="21">
        <v>1</v>
      </c>
      <c r="I196" s="26"/>
    </row>
    <row r="197" spans="1:9" s="13" customFormat="1" ht="35.1" customHeight="1">
      <c r="A197" s="31" t="s">
        <v>697</v>
      </c>
      <c r="B197" s="11" t="s">
        <v>257</v>
      </c>
      <c r="C197" s="12" t="s">
        <v>257</v>
      </c>
      <c r="D197" s="6" t="s">
        <v>592</v>
      </c>
      <c r="E197" s="18" t="s">
        <v>74</v>
      </c>
      <c r="F197" s="29" t="s">
        <v>697</v>
      </c>
      <c r="G197" s="18" t="str">
        <f>+VLOOKUP(F197,[1]Лист_1!$A:$C,2,0)</f>
        <v>682705351697</v>
      </c>
      <c r="H197" s="21">
        <v>1</v>
      </c>
      <c r="I197" s="26"/>
    </row>
    <row r="198" spans="1:9" s="13" customFormat="1" ht="35.1" customHeight="1">
      <c r="A198" s="18" t="s">
        <v>170</v>
      </c>
      <c r="B198" s="11" t="s">
        <v>257</v>
      </c>
      <c r="C198" s="12" t="s">
        <v>257</v>
      </c>
      <c r="D198" s="6" t="s">
        <v>592</v>
      </c>
      <c r="E198" s="18" t="s">
        <v>74</v>
      </c>
      <c r="F198" s="28" t="s">
        <v>66</v>
      </c>
      <c r="G198" s="18"/>
      <c r="H198" s="21">
        <v>1</v>
      </c>
      <c r="I198" s="26"/>
    </row>
    <row r="199" spans="1:9" s="13" customFormat="1" ht="35.1" customHeight="1">
      <c r="A199" s="31" t="s">
        <v>873</v>
      </c>
      <c r="B199" s="11" t="s">
        <v>257</v>
      </c>
      <c r="C199" s="12" t="s">
        <v>257</v>
      </c>
      <c r="D199" s="6" t="s">
        <v>592</v>
      </c>
      <c r="E199" s="18" t="s">
        <v>74</v>
      </c>
      <c r="F199" s="29" t="s">
        <v>873</v>
      </c>
      <c r="G199" s="18" t="str">
        <f>+VLOOKUP(F199,[1]Лист_1!$A:$C,2,0)</f>
        <v>500304746348</v>
      </c>
      <c r="H199" s="21">
        <v>1</v>
      </c>
      <c r="I199" s="26"/>
    </row>
    <row r="200" spans="1:9" s="13" customFormat="1" ht="35.1" customHeight="1">
      <c r="A200" s="19" t="s">
        <v>25</v>
      </c>
      <c r="B200" s="11" t="s">
        <v>257</v>
      </c>
      <c r="C200" s="12" t="s">
        <v>257</v>
      </c>
      <c r="D200" s="6" t="s">
        <v>592</v>
      </c>
      <c r="E200" s="18" t="s">
        <v>591</v>
      </c>
      <c r="F200" s="28" t="s">
        <v>66</v>
      </c>
      <c r="G200" s="18"/>
      <c r="H200" s="21">
        <v>1</v>
      </c>
      <c r="I200" s="26"/>
    </row>
    <row r="201" spans="1:9" s="13" customFormat="1" ht="35.1" customHeight="1">
      <c r="A201" s="31" t="s">
        <v>739</v>
      </c>
      <c r="B201" s="11" t="s">
        <v>257</v>
      </c>
      <c r="C201" s="12" t="s">
        <v>257</v>
      </c>
      <c r="D201" s="6" t="s">
        <v>592</v>
      </c>
      <c r="E201" s="18" t="s">
        <v>591</v>
      </c>
      <c r="F201" s="29" t="s">
        <v>739</v>
      </c>
      <c r="G201" s="18" t="str">
        <f>+VLOOKUP(F201,[1]Лист_1!$A:$C,2,0)</f>
        <v>772879792488</v>
      </c>
      <c r="H201" s="21">
        <v>0.5</v>
      </c>
      <c r="I201" s="26"/>
    </row>
    <row r="202" spans="1:9" s="13" customFormat="1" ht="35.1" customHeight="1">
      <c r="A202" s="19" t="s">
        <v>947</v>
      </c>
      <c r="B202" s="11" t="s">
        <v>257</v>
      </c>
      <c r="C202" s="12" t="s">
        <v>257</v>
      </c>
      <c r="D202" s="6" t="s">
        <v>592</v>
      </c>
      <c r="E202" s="18" t="s">
        <v>591</v>
      </c>
      <c r="F202" s="28" t="s">
        <v>66</v>
      </c>
      <c r="G202" s="18"/>
      <c r="H202" s="21">
        <v>0.5</v>
      </c>
      <c r="I202" s="26"/>
    </row>
    <row r="203" spans="1:9" s="13" customFormat="1" ht="51.95" customHeight="1">
      <c r="A203" s="18" t="s">
        <v>172</v>
      </c>
      <c r="B203" s="11" t="s">
        <v>257</v>
      </c>
      <c r="C203" s="12" t="s">
        <v>257</v>
      </c>
      <c r="D203" s="6" t="s">
        <v>174</v>
      </c>
      <c r="E203" s="18" t="s">
        <v>14</v>
      </c>
      <c r="F203" s="6" t="s">
        <v>172</v>
      </c>
      <c r="G203" s="18" t="str">
        <f>+VLOOKUP(F203,[1]Лист_1!$A:$C,2,0)</f>
        <v>344213034485</v>
      </c>
      <c r="H203" s="21">
        <v>1</v>
      </c>
      <c r="I203" s="26"/>
    </row>
    <row r="204" spans="1:9" s="13" customFormat="1" ht="51.95" customHeight="1">
      <c r="A204" s="18" t="s">
        <v>162</v>
      </c>
      <c r="B204" s="11" t="s">
        <v>257</v>
      </c>
      <c r="C204" s="12" t="s">
        <v>257</v>
      </c>
      <c r="D204" s="6" t="s">
        <v>174</v>
      </c>
      <c r="E204" s="18" t="s">
        <v>15</v>
      </c>
      <c r="F204" s="6" t="s">
        <v>162</v>
      </c>
      <c r="G204" s="18" t="str">
        <f>+VLOOKUP(F204,[1]Лист_1!$A:$C,2,0)</f>
        <v>500915910922</v>
      </c>
      <c r="H204" s="21">
        <v>1</v>
      </c>
      <c r="I204" s="26"/>
    </row>
    <row r="205" spans="1:9" s="13" customFormat="1" ht="51.95" customHeight="1">
      <c r="A205" s="31" t="s">
        <v>820</v>
      </c>
      <c r="B205" s="11" t="s">
        <v>257</v>
      </c>
      <c r="C205" s="12" t="s">
        <v>257</v>
      </c>
      <c r="D205" s="6" t="s">
        <v>174</v>
      </c>
      <c r="E205" s="18" t="s">
        <v>717</v>
      </c>
      <c r="F205" s="29" t="s">
        <v>820</v>
      </c>
      <c r="G205" s="18" t="str">
        <f>+VLOOKUP(F205,[1]Лист_1!$A:$C,2,0)</f>
        <v>773718329418</v>
      </c>
      <c r="H205" s="21">
        <v>1</v>
      </c>
      <c r="I205" s="26"/>
    </row>
    <row r="206" spans="1:9" s="13" customFormat="1" ht="51.95" customHeight="1">
      <c r="A206" s="18" t="s">
        <v>171</v>
      </c>
      <c r="B206" s="11" t="s">
        <v>257</v>
      </c>
      <c r="C206" s="12" t="s">
        <v>257</v>
      </c>
      <c r="D206" s="6" t="s">
        <v>174</v>
      </c>
      <c r="E206" s="18" t="s">
        <v>717</v>
      </c>
      <c r="F206" s="6" t="s">
        <v>171</v>
      </c>
      <c r="G206" s="18" t="str">
        <f>+VLOOKUP(F206,[1]Лист_1!$A:$C,2,0)</f>
        <v>502603890520</v>
      </c>
      <c r="H206" s="21">
        <v>1</v>
      </c>
      <c r="I206" s="26"/>
    </row>
    <row r="207" spans="1:9" s="13" customFormat="1" ht="51.95" customHeight="1">
      <c r="A207" s="18" t="s">
        <v>589</v>
      </c>
      <c r="B207" s="11" t="s">
        <v>257</v>
      </c>
      <c r="C207" s="12" t="s">
        <v>257</v>
      </c>
      <c r="D207" s="6" t="s">
        <v>174</v>
      </c>
      <c r="E207" s="18" t="s">
        <v>717</v>
      </c>
      <c r="F207" s="6" t="s">
        <v>589</v>
      </c>
      <c r="G207" s="18" t="str">
        <f>+VLOOKUP(F207,[1]Лист_1!$A:$C,2,0)</f>
        <v>261812732807</v>
      </c>
      <c r="H207" s="21">
        <v>1</v>
      </c>
      <c r="I207" s="26"/>
    </row>
    <row r="208" spans="1:9" s="13" customFormat="1" ht="35.1" customHeight="1">
      <c r="A208" s="18" t="s">
        <v>159</v>
      </c>
      <c r="B208" s="11" t="s">
        <v>257</v>
      </c>
      <c r="C208" s="12" t="s">
        <v>257</v>
      </c>
      <c r="D208" s="6" t="s">
        <v>160</v>
      </c>
      <c r="E208" s="18" t="s">
        <v>14</v>
      </c>
      <c r="F208" s="6" t="s">
        <v>159</v>
      </c>
      <c r="G208" s="18" t="str">
        <f>+VLOOKUP(F208,[1]Лист_1!$A:$C,2,0)</f>
        <v>772326440808</v>
      </c>
      <c r="H208" s="21">
        <v>1</v>
      </c>
      <c r="I208" s="26"/>
    </row>
    <row r="209" spans="1:9" s="13" customFormat="1" ht="35.1" customHeight="1">
      <c r="A209" s="18" t="s">
        <v>173</v>
      </c>
      <c r="B209" s="11" t="s">
        <v>257</v>
      </c>
      <c r="C209" s="12" t="s">
        <v>257</v>
      </c>
      <c r="D209" s="6" t="s">
        <v>160</v>
      </c>
      <c r="E209" s="18" t="s">
        <v>15</v>
      </c>
      <c r="F209" s="6" t="s">
        <v>173</v>
      </c>
      <c r="G209" s="18" t="str">
        <f>+VLOOKUP(F209,[1]Лист_1!$A:$C,2,0)</f>
        <v>780109487632</v>
      </c>
      <c r="H209" s="21">
        <v>1</v>
      </c>
      <c r="I209" s="26"/>
    </row>
    <row r="210" spans="1:9" s="13" customFormat="1" ht="35.1" customHeight="1">
      <c r="A210" s="19" t="s">
        <v>66</v>
      </c>
      <c r="B210" s="11" t="s">
        <v>257</v>
      </c>
      <c r="C210" s="12" t="s">
        <v>257</v>
      </c>
      <c r="D210" s="6" t="s">
        <v>160</v>
      </c>
      <c r="E210" s="18" t="s">
        <v>717</v>
      </c>
      <c r="F210" s="28" t="s">
        <v>66</v>
      </c>
      <c r="G210" s="18"/>
      <c r="H210" s="21">
        <v>1</v>
      </c>
      <c r="I210" s="26"/>
    </row>
    <row r="211" spans="1:9" s="13" customFormat="1" ht="35.1" customHeight="1">
      <c r="A211" s="18" t="s">
        <v>175</v>
      </c>
      <c r="B211" s="11" t="s">
        <v>257</v>
      </c>
      <c r="C211" s="12" t="s">
        <v>257</v>
      </c>
      <c r="D211" s="6" t="s">
        <v>135</v>
      </c>
      <c r="E211" s="18" t="s">
        <v>12</v>
      </c>
      <c r="F211" s="6" t="s">
        <v>175</v>
      </c>
      <c r="G211" s="18" t="str">
        <f>+VLOOKUP(F211,[1]Лист_1!$A:$C,2,0)</f>
        <v>501807856074</v>
      </c>
      <c r="H211" s="21">
        <v>1</v>
      </c>
      <c r="I211" s="26"/>
    </row>
    <row r="212" spans="1:9" s="13" customFormat="1" ht="35.1" customHeight="1">
      <c r="A212" s="18" t="s">
        <v>187</v>
      </c>
      <c r="B212" s="11" t="s">
        <v>257</v>
      </c>
      <c r="C212" s="12" t="s">
        <v>257</v>
      </c>
      <c r="D212" s="6" t="s">
        <v>135</v>
      </c>
      <c r="E212" s="18" t="s">
        <v>149</v>
      </c>
      <c r="F212" s="6" t="s">
        <v>187</v>
      </c>
      <c r="G212" s="18" t="str">
        <f>+VLOOKUP(F212,[1]Лист_1!$A:$C,2,0)</f>
        <v>300512194244</v>
      </c>
      <c r="H212" s="21">
        <v>1</v>
      </c>
      <c r="I212" s="26"/>
    </row>
    <row r="213" spans="1:9" s="13" customFormat="1" ht="35.1" customHeight="1">
      <c r="A213" s="6" t="s">
        <v>176</v>
      </c>
      <c r="B213" s="11" t="s">
        <v>257</v>
      </c>
      <c r="C213" s="12" t="s">
        <v>257</v>
      </c>
      <c r="D213" s="6" t="s">
        <v>136</v>
      </c>
      <c r="E213" s="6" t="s">
        <v>14</v>
      </c>
      <c r="F213" s="6" t="s">
        <v>176</v>
      </c>
      <c r="G213" s="18" t="str">
        <f>+VLOOKUP(F213,[1]Лист_1!$A:$C,2,0)</f>
        <v>623202800773</v>
      </c>
      <c r="H213" s="21">
        <v>1</v>
      </c>
      <c r="I213" s="26"/>
    </row>
    <row r="214" spans="1:9" s="13" customFormat="1" ht="35.1" customHeight="1">
      <c r="A214" s="6" t="s">
        <v>177</v>
      </c>
      <c r="B214" s="11" t="s">
        <v>257</v>
      </c>
      <c r="C214" s="12" t="s">
        <v>257</v>
      </c>
      <c r="D214" s="6" t="s">
        <v>136</v>
      </c>
      <c r="E214" s="6" t="s">
        <v>15</v>
      </c>
      <c r="F214" s="6" t="s">
        <v>177</v>
      </c>
      <c r="G214" s="18" t="str">
        <f>+VLOOKUP(F214,[1]Лист_1!$A:$C,2,0)</f>
        <v>772622593755</v>
      </c>
      <c r="H214" s="21">
        <v>1</v>
      </c>
      <c r="I214" s="26"/>
    </row>
    <row r="215" spans="1:9" s="13" customFormat="1" ht="35.1" customHeight="1">
      <c r="A215" s="6" t="s">
        <v>183</v>
      </c>
      <c r="B215" s="11" t="s">
        <v>257</v>
      </c>
      <c r="C215" s="12" t="s">
        <v>257</v>
      </c>
      <c r="D215" s="6" t="s">
        <v>136</v>
      </c>
      <c r="E215" s="6" t="s">
        <v>26</v>
      </c>
      <c r="F215" s="6" t="s">
        <v>183</v>
      </c>
      <c r="G215" s="18" t="str">
        <f>+VLOOKUP(F215,[1]Лист_1!$A:$C,2,0)</f>
        <v>773418941475</v>
      </c>
      <c r="H215" s="21">
        <v>1</v>
      </c>
      <c r="I215" s="26"/>
    </row>
    <row r="216" spans="1:9" s="13" customFormat="1" ht="48" customHeight="1">
      <c r="A216" s="28" t="s">
        <v>25</v>
      </c>
      <c r="B216" s="11" t="s">
        <v>257</v>
      </c>
      <c r="C216" s="12" t="s">
        <v>257</v>
      </c>
      <c r="D216" s="6" t="s">
        <v>136</v>
      </c>
      <c r="E216" s="6" t="s">
        <v>26</v>
      </c>
      <c r="F216" s="28" t="s">
        <v>66</v>
      </c>
      <c r="G216" s="18"/>
      <c r="H216" s="21">
        <v>1</v>
      </c>
      <c r="I216" s="26"/>
    </row>
    <row r="217" spans="1:9" s="13" customFormat="1" ht="48" customHeight="1">
      <c r="A217" s="6" t="s">
        <v>178</v>
      </c>
      <c r="B217" s="11" t="s">
        <v>257</v>
      </c>
      <c r="C217" s="12" t="s">
        <v>257</v>
      </c>
      <c r="D217" s="6" t="s">
        <v>136</v>
      </c>
      <c r="E217" s="6" t="s">
        <v>718</v>
      </c>
      <c r="F217" s="6" t="s">
        <v>178</v>
      </c>
      <c r="G217" s="18" t="str">
        <f>+VLOOKUP(F217,[1]Лист_1!$A:$C,2,0)</f>
        <v>690101859265</v>
      </c>
      <c r="H217" s="21">
        <v>1</v>
      </c>
      <c r="I217" s="26"/>
    </row>
    <row r="218" spans="1:9" s="13" customFormat="1" ht="48" customHeight="1">
      <c r="A218" s="6" t="s">
        <v>179</v>
      </c>
      <c r="B218" s="11" t="s">
        <v>257</v>
      </c>
      <c r="C218" s="12" t="s">
        <v>257</v>
      </c>
      <c r="D218" s="6" t="s">
        <v>136</v>
      </c>
      <c r="E218" s="6" t="s">
        <v>718</v>
      </c>
      <c r="F218" s="6" t="s">
        <v>179</v>
      </c>
      <c r="G218" s="18" t="str">
        <f>+VLOOKUP(F218,[1]Лист_1!$A:$C,2,0)</f>
        <v>772871703126</v>
      </c>
      <c r="H218" s="21">
        <v>1</v>
      </c>
      <c r="I218" s="26"/>
    </row>
    <row r="219" spans="1:9" s="13" customFormat="1" ht="48" customHeight="1">
      <c r="A219" s="6" t="s">
        <v>180</v>
      </c>
      <c r="B219" s="11" t="s">
        <v>257</v>
      </c>
      <c r="C219" s="12" t="s">
        <v>257</v>
      </c>
      <c r="D219" s="6" t="s">
        <v>136</v>
      </c>
      <c r="E219" s="6" t="s">
        <v>718</v>
      </c>
      <c r="F219" s="6" t="s">
        <v>180</v>
      </c>
      <c r="G219" s="18" t="str">
        <f>+VLOOKUP(F219,[1]Лист_1!$A:$C,2,0)</f>
        <v>501712270500</v>
      </c>
      <c r="H219" s="21">
        <v>1</v>
      </c>
      <c r="I219" s="26"/>
    </row>
    <row r="220" spans="1:9" s="13" customFormat="1" ht="48" customHeight="1">
      <c r="A220" s="29" t="s">
        <v>837</v>
      </c>
      <c r="B220" s="11" t="s">
        <v>257</v>
      </c>
      <c r="C220" s="12" t="s">
        <v>257</v>
      </c>
      <c r="D220" s="6" t="s">
        <v>136</v>
      </c>
      <c r="E220" s="6" t="s">
        <v>718</v>
      </c>
      <c r="F220" s="29" t="s">
        <v>837</v>
      </c>
      <c r="G220" s="18" t="str">
        <f>+VLOOKUP(F220,[1]Лист_1!$A:$C,2,0)</f>
        <v>323211643007</v>
      </c>
      <c r="H220" s="21">
        <v>1</v>
      </c>
      <c r="I220" s="26"/>
    </row>
    <row r="221" spans="1:9" s="13" customFormat="1" ht="48" customHeight="1">
      <c r="A221" s="6" t="s">
        <v>181</v>
      </c>
      <c r="B221" s="11" t="s">
        <v>257</v>
      </c>
      <c r="C221" s="12" t="s">
        <v>257</v>
      </c>
      <c r="D221" s="6" t="s">
        <v>136</v>
      </c>
      <c r="E221" s="6" t="s">
        <v>718</v>
      </c>
      <c r="F221" s="6" t="s">
        <v>181</v>
      </c>
      <c r="G221" s="18" t="str">
        <f>+VLOOKUP(F221,[1]Лист_1!$A:$C,2,0)</f>
        <v>681602374732</v>
      </c>
      <c r="H221" s="21">
        <v>1</v>
      </c>
      <c r="I221" s="26"/>
    </row>
    <row r="222" spans="1:9" s="13" customFormat="1" ht="48" customHeight="1">
      <c r="A222" s="6" t="s">
        <v>182</v>
      </c>
      <c r="B222" s="11" t="s">
        <v>257</v>
      </c>
      <c r="C222" s="12" t="s">
        <v>257</v>
      </c>
      <c r="D222" s="6" t="s">
        <v>136</v>
      </c>
      <c r="E222" s="6" t="s">
        <v>718</v>
      </c>
      <c r="F222" s="6" t="s">
        <v>182</v>
      </c>
      <c r="G222" s="18" t="str">
        <f>+VLOOKUP(F222,[1]Лист_1!$A:$C,2,0)</f>
        <v>772175386666</v>
      </c>
      <c r="H222" s="21">
        <v>1</v>
      </c>
      <c r="I222" s="26"/>
    </row>
    <row r="223" spans="1:9" s="13" customFormat="1" ht="48" customHeight="1">
      <c r="A223" s="6" t="s">
        <v>184</v>
      </c>
      <c r="B223" s="11" t="s">
        <v>257</v>
      </c>
      <c r="C223" s="12" t="s">
        <v>257</v>
      </c>
      <c r="D223" s="6" t="s">
        <v>136</v>
      </c>
      <c r="E223" s="6" t="s">
        <v>137</v>
      </c>
      <c r="F223" s="6" t="s">
        <v>184</v>
      </c>
      <c r="G223" s="18" t="str">
        <f>+VLOOKUP(F223,[1]Лист_1!$A:$C,2,0)</f>
        <v>773303868719</v>
      </c>
      <c r="H223" s="21">
        <v>1</v>
      </c>
      <c r="I223" s="26"/>
    </row>
    <row r="224" spans="1:9" s="13" customFormat="1" ht="35.1" customHeight="1">
      <c r="A224" s="6" t="s">
        <v>200</v>
      </c>
      <c r="B224" s="11" t="s">
        <v>257</v>
      </c>
      <c r="C224" s="12" t="s">
        <v>257</v>
      </c>
      <c r="D224" s="6" t="s">
        <v>136</v>
      </c>
      <c r="E224" s="6" t="s">
        <v>137</v>
      </c>
      <c r="F224" s="6" t="s">
        <v>200</v>
      </c>
      <c r="G224" s="18" t="str">
        <f>+VLOOKUP(F224,[1]Лист_1!$A:$C,2,0)</f>
        <v>091707627405</v>
      </c>
      <c r="H224" s="21">
        <v>1</v>
      </c>
      <c r="I224" s="26"/>
    </row>
    <row r="225" spans="1:9" s="13" customFormat="1" ht="35.1" customHeight="1">
      <c r="A225" s="6" t="s">
        <v>185</v>
      </c>
      <c r="B225" s="11" t="s">
        <v>257</v>
      </c>
      <c r="C225" s="12" t="s">
        <v>257</v>
      </c>
      <c r="D225" s="6" t="s">
        <v>136</v>
      </c>
      <c r="E225" s="6" t="s">
        <v>137</v>
      </c>
      <c r="F225" s="6" t="s">
        <v>185</v>
      </c>
      <c r="G225" s="18" t="str">
        <f>+VLOOKUP(F225,[1]Лист_1!$A:$C,2,0)</f>
        <v>772773482905</v>
      </c>
      <c r="H225" s="21">
        <v>1</v>
      </c>
      <c r="I225" s="26"/>
    </row>
    <row r="226" spans="1:9" s="13" customFormat="1" ht="35.1" customHeight="1">
      <c r="A226" s="6" t="s">
        <v>193</v>
      </c>
      <c r="B226" s="11" t="s">
        <v>257</v>
      </c>
      <c r="C226" s="12" t="s">
        <v>257</v>
      </c>
      <c r="D226" s="6" t="s">
        <v>136</v>
      </c>
      <c r="E226" s="6" t="s">
        <v>137</v>
      </c>
      <c r="F226" s="6" t="s">
        <v>193</v>
      </c>
      <c r="G226" s="18" t="str">
        <f>+VLOOKUP(F226,[1]Лист_1!$A:$C,2,0)</f>
        <v>502216171609</v>
      </c>
      <c r="H226" s="21">
        <v>0.75</v>
      </c>
      <c r="I226" s="26"/>
    </row>
    <row r="227" spans="1:9" s="13" customFormat="1" ht="35.1" customHeight="1">
      <c r="A227" s="6" t="s">
        <v>199</v>
      </c>
      <c r="B227" s="11" t="s">
        <v>257</v>
      </c>
      <c r="C227" s="12" t="s">
        <v>257</v>
      </c>
      <c r="D227" s="6" t="s">
        <v>136</v>
      </c>
      <c r="E227" s="6" t="s">
        <v>137</v>
      </c>
      <c r="F227" s="6" t="s">
        <v>199</v>
      </c>
      <c r="G227" s="18" t="str">
        <f>+VLOOKUP(F227,[1]Лист_1!$A:$C,2,0)</f>
        <v>362706877227</v>
      </c>
      <c r="H227" s="21">
        <v>0.25</v>
      </c>
      <c r="I227" s="26"/>
    </row>
    <row r="228" spans="1:9" s="13" customFormat="1" ht="35.1" customHeight="1">
      <c r="A228" s="29" t="s">
        <v>692</v>
      </c>
      <c r="B228" s="11" t="s">
        <v>257</v>
      </c>
      <c r="C228" s="12" t="s">
        <v>257</v>
      </c>
      <c r="D228" s="6" t="s">
        <v>136</v>
      </c>
      <c r="E228" s="6" t="s">
        <v>137</v>
      </c>
      <c r="F228" s="29" t="s">
        <v>692</v>
      </c>
      <c r="G228" s="18" t="str">
        <f>+VLOOKUP(F228,[1]Лист_1!$A:$C,2,0)</f>
        <v>502410774742</v>
      </c>
      <c r="H228" s="21">
        <v>1</v>
      </c>
      <c r="I228" s="26"/>
    </row>
    <row r="229" spans="1:9" s="13" customFormat="1" ht="35.1" customHeight="1">
      <c r="A229" s="29" t="s">
        <v>924</v>
      </c>
      <c r="B229" s="11" t="s">
        <v>257</v>
      </c>
      <c r="C229" s="12" t="s">
        <v>257</v>
      </c>
      <c r="D229" s="6" t="s">
        <v>136</v>
      </c>
      <c r="E229" s="6" t="s">
        <v>414</v>
      </c>
      <c r="F229" s="29" t="s">
        <v>924</v>
      </c>
      <c r="G229" s="18" t="str">
        <f>+VLOOKUP(F229,[1]Лист_1!$A:$C,2,0)</f>
        <v>503513814068</v>
      </c>
      <c r="H229" s="21">
        <v>0.5</v>
      </c>
      <c r="I229" s="26"/>
    </row>
    <row r="230" spans="1:9" s="13" customFormat="1" ht="35.1" customHeight="1">
      <c r="A230" s="29" t="s">
        <v>925</v>
      </c>
      <c r="B230" s="11" t="s">
        <v>257</v>
      </c>
      <c r="C230" s="12" t="s">
        <v>257</v>
      </c>
      <c r="D230" s="6" t="s">
        <v>136</v>
      </c>
      <c r="E230" s="6" t="s">
        <v>414</v>
      </c>
      <c r="F230" s="29" t="s">
        <v>925</v>
      </c>
      <c r="G230" s="18" t="str">
        <f>+VLOOKUP(F230,[1]Лист_1!$A:$C,2,0)</f>
        <v>500513763957</v>
      </c>
      <c r="H230" s="21">
        <v>0.5</v>
      </c>
      <c r="I230" s="26"/>
    </row>
    <row r="231" spans="1:9" s="13" customFormat="1" ht="35.1" customHeight="1">
      <c r="A231" s="29" t="s">
        <v>926</v>
      </c>
      <c r="B231" s="11" t="s">
        <v>257</v>
      </c>
      <c r="C231" s="12" t="s">
        <v>257</v>
      </c>
      <c r="D231" s="6" t="s">
        <v>136</v>
      </c>
      <c r="E231" s="6" t="s">
        <v>414</v>
      </c>
      <c r="F231" s="29" t="s">
        <v>926</v>
      </c>
      <c r="G231" s="18" t="str">
        <f>+VLOOKUP(F231,[1]Лист_1!$A:$C,2,0)</f>
        <v>760406759290</v>
      </c>
      <c r="H231" s="21">
        <v>0.5</v>
      </c>
      <c r="I231" s="26"/>
    </row>
    <row r="232" spans="1:9" s="13" customFormat="1" ht="35.1" customHeight="1">
      <c r="A232" s="29" t="s">
        <v>927</v>
      </c>
      <c r="B232" s="11" t="s">
        <v>257</v>
      </c>
      <c r="C232" s="12" t="s">
        <v>257</v>
      </c>
      <c r="D232" s="6" t="s">
        <v>136</v>
      </c>
      <c r="E232" s="6" t="s">
        <v>414</v>
      </c>
      <c r="F232" s="29" t="s">
        <v>927</v>
      </c>
      <c r="G232" s="18" t="str">
        <f>+VLOOKUP(F232,[1]Лист_1!$A:$C,2,0)</f>
        <v>301514599022</v>
      </c>
      <c r="H232" s="21">
        <v>0.5</v>
      </c>
      <c r="I232" s="26"/>
    </row>
    <row r="233" spans="1:9" s="13" customFormat="1" ht="35.1" customHeight="1">
      <c r="A233" s="29" t="s">
        <v>740</v>
      </c>
      <c r="B233" s="11" t="s">
        <v>257</v>
      </c>
      <c r="C233" s="12" t="s">
        <v>257</v>
      </c>
      <c r="D233" s="6" t="s">
        <v>138</v>
      </c>
      <c r="E233" s="6" t="s">
        <v>14</v>
      </c>
      <c r="F233" s="29" t="s">
        <v>740</v>
      </c>
      <c r="G233" s="18" t="str">
        <f>+VLOOKUP(F233,[1]Лист_1!$A:$C,2,0)</f>
        <v>773389889274</v>
      </c>
      <c r="H233" s="21">
        <v>1</v>
      </c>
      <c r="I233" s="26"/>
    </row>
    <row r="234" spans="1:9" s="13" customFormat="1" ht="35.1" customHeight="1">
      <c r="A234" s="6" t="s">
        <v>188</v>
      </c>
      <c r="B234" s="11" t="s">
        <v>257</v>
      </c>
      <c r="C234" s="12" t="s">
        <v>257</v>
      </c>
      <c r="D234" s="6" t="s">
        <v>138</v>
      </c>
      <c r="E234" s="6" t="s">
        <v>26</v>
      </c>
      <c r="F234" s="6" t="s">
        <v>188</v>
      </c>
      <c r="G234" s="18" t="str">
        <f>+VLOOKUP(F234,[1]Лист_1!$A:$C,2,0)</f>
        <v>245208208671</v>
      </c>
      <c r="H234" s="21">
        <v>1</v>
      </c>
      <c r="I234" s="26"/>
    </row>
    <row r="235" spans="1:9" s="13" customFormat="1" ht="35.1" customHeight="1">
      <c r="A235" s="6" t="s">
        <v>192</v>
      </c>
      <c r="B235" s="11" t="s">
        <v>257</v>
      </c>
      <c r="C235" s="12" t="s">
        <v>257</v>
      </c>
      <c r="D235" s="6" t="s">
        <v>138</v>
      </c>
      <c r="E235" s="6" t="s">
        <v>26</v>
      </c>
      <c r="F235" s="6" t="s">
        <v>192</v>
      </c>
      <c r="G235" s="18" t="str">
        <f>+VLOOKUP(F235,[1]Лист_1!$A:$C,2,0)</f>
        <v>772826280133</v>
      </c>
      <c r="H235" s="21">
        <v>1</v>
      </c>
      <c r="I235" s="26"/>
    </row>
    <row r="236" spans="1:9" s="13" customFormat="1" ht="48" customHeight="1">
      <c r="A236" s="6" t="s">
        <v>189</v>
      </c>
      <c r="B236" s="11" t="s">
        <v>257</v>
      </c>
      <c r="C236" s="12" t="s">
        <v>257</v>
      </c>
      <c r="D236" s="6" t="s">
        <v>138</v>
      </c>
      <c r="E236" s="6" t="s">
        <v>718</v>
      </c>
      <c r="F236" s="6" t="s">
        <v>189</v>
      </c>
      <c r="G236" s="18" t="str">
        <f>+VLOOKUP(F236,[1]Лист_1!$A:$C,2,0)</f>
        <v>500717941904</v>
      </c>
      <c r="H236" s="21">
        <v>1</v>
      </c>
      <c r="I236" s="26"/>
    </row>
    <row r="237" spans="1:9" s="13" customFormat="1" ht="48" customHeight="1">
      <c r="A237" s="6" t="s">
        <v>190</v>
      </c>
      <c r="B237" s="11" t="s">
        <v>257</v>
      </c>
      <c r="C237" s="12" t="s">
        <v>257</v>
      </c>
      <c r="D237" s="6" t="s">
        <v>138</v>
      </c>
      <c r="E237" s="6" t="s">
        <v>718</v>
      </c>
      <c r="F237" s="6" t="s">
        <v>190</v>
      </c>
      <c r="G237" s="18" t="str">
        <f>+VLOOKUP(F237,[1]Лист_1!$A:$C,2,0)</f>
        <v>772424053885</v>
      </c>
      <c r="H237" s="21">
        <v>1</v>
      </c>
      <c r="I237" s="26"/>
    </row>
    <row r="238" spans="1:9" s="13" customFormat="1" ht="48" customHeight="1">
      <c r="A238" s="6" t="s">
        <v>191</v>
      </c>
      <c r="B238" s="11" t="s">
        <v>257</v>
      </c>
      <c r="C238" s="12" t="s">
        <v>257</v>
      </c>
      <c r="D238" s="6" t="s">
        <v>138</v>
      </c>
      <c r="E238" s="6" t="s">
        <v>718</v>
      </c>
      <c r="F238" s="6" t="s">
        <v>191</v>
      </c>
      <c r="G238" s="18" t="str">
        <f>+VLOOKUP(F238,[1]Лист_1!$A:$C,2,0)</f>
        <v>323103337404</v>
      </c>
      <c r="H238" s="21">
        <v>1</v>
      </c>
      <c r="I238" s="26"/>
    </row>
    <row r="239" spans="1:9" s="13" customFormat="1" ht="48" customHeight="1">
      <c r="A239" s="6" t="s">
        <v>186</v>
      </c>
      <c r="B239" s="11" t="s">
        <v>257</v>
      </c>
      <c r="C239" s="12" t="s">
        <v>257</v>
      </c>
      <c r="D239" s="6" t="s">
        <v>138</v>
      </c>
      <c r="E239" s="6" t="s">
        <v>718</v>
      </c>
      <c r="F239" s="6" t="s">
        <v>186</v>
      </c>
      <c r="G239" s="18" t="str">
        <f>+VLOOKUP(F239,[1]Лист_1!$A:$C,2,0)</f>
        <v>773323978798</v>
      </c>
      <c r="H239" s="21">
        <v>0.9</v>
      </c>
      <c r="I239" s="26"/>
    </row>
    <row r="240" spans="1:9" s="13" customFormat="1" ht="48" customHeight="1">
      <c r="A240" s="28" t="s">
        <v>25</v>
      </c>
      <c r="B240" s="11" t="s">
        <v>257</v>
      </c>
      <c r="C240" s="12" t="s">
        <v>257</v>
      </c>
      <c r="D240" s="6" t="s">
        <v>138</v>
      </c>
      <c r="E240" s="6" t="s">
        <v>718</v>
      </c>
      <c r="F240" s="28" t="s">
        <v>66</v>
      </c>
      <c r="G240" s="18"/>
      <c r="H240" s="21">
        <v>0.1</v>
      </c>
      <c r="I240" s="26"/>
    </row>
    <row r="241" spans="1:9" s="13" customFormat="1" ht="48" customHeight="1">
      <c r="A241" s="6" t="s">
        <v>854</v>
      </c>
      <c r="B241" s="11" t="s">
        <v>257</v>
      </c>
      <c r="C241" s="12" t="s">
        <v>257</v>
      </c>
      <c r="D241" s="6" t="s">
        <v>138</v>
      </c>
      <c r="E241" s="6" t="s">
        <v>718</v>
      </c>
      <c r="F241" s="6" t="s">
        <v>854</v>
      </c>
      <c r="G241" s="18" t="str">
        <f>+VLOOKUP(F241,[1]Лист_1!$A:$C,2,0)</f>
        <v>773303868645</v>
      </c>
      <c r="H241" s="21">
        <v>1</v>
      </c>
      <c r="I241" s="26"/>
    </row>
    <row r="242" spans="1:9" s="13" customFormat="1" ht="48" customHeight="1">
      <c r="A242" s="6" t="s">
        <v>856</v>
      </c>
      <c r="B242" s="11" t="s">
        <v>257</v>
      </c>
      <c r="C242" s="12" t="s">
        <v>257</v>
      </c>
      <c r="D242" s="6" t="s">
        <v>138</v>
      </c>
      <c r="E242" s="6" t="s">
        <v>718</v>
      </c>
      <c r="F242" s="6" t="s">
        <v>856</v>
      </c>
      <c r="G242" s="18" t="str">
        <f>+VLOOKUP(F242,[1]Лист_1!$A:$C,2,0)</f>
        <v>772400339525</v>
      </c>
      <c r="H242" s="21">
        <v>0.9</v>
      </c>
      <c r="I242" s="26"/>
    </row>
    <row r="243" spans="1:9" s="13" customFormat="1" ht="48" customHeight="1">
      <c r="A243" s="28" t="s">
        <v>25</v>
      </c>
      <c r="B243" s="11" t="s">
        <v>257</v>
      </c>
      <c r="C243" s="12" t="s">
        <v>257</v>
      </c>
      <c r="D243" s="6" t="s">
        <v>138</v>
      </c>
      <c r="E243" s="6" t="s">
        <v>718</v>
      </c>
      <c r="F243" s="28" t="s">
        <v>66</v>
      </c>
      <c r="G243" s="18"/>
      <c r="H243" s="21">
        <v>0.1</v>
      </c>
      <c r="I243" s="26"/>
    </row>
    <row r="244" spans="1:9" s="13" customFormat="1" ht="48" customHeight="1">
      <c r="A244" s="28" t="s">
        <v>934</v>
      </c>
      <c r="B244" s="11" t="s">
        <v>257</v>
      </c>
      <c r="C244" s="12" t="s">
        <v>257</v>
      </c>
      <c r="D244" s="6" t="s">
        <v>138</v>
      </c>
      <c r="E244" s="6" t="s">
        <v>718</v>
      </c>
      <c r="F244" s="28" t="s">
        <v>66</v>
      </c>
      <c r="G244" s="18"/>
      <c r="H244" s="21">
        <v>1</v>
      </c>
      <c r="I244" s="26"/>
    </row>
    <row r="245" spans="1:9" s="13" customFormat="1" ht="35.1" customHeight="1">
      <c r="A245" s="6" t="s">
        <v>195</v>
      </c>
      <c r="B245" s="11" t="s">
        <v>257</v>
      </c>
      <c r="C245" s="12" t="s">
        <v>257</v>
      </c>
      <c r="D245" s="6" t="s">
        <v>138</v>
      </c>
      <c r="E245" s="6" t="s">
        <v>137</v>
      </c>
      <c r="F245" s="6" t="s">
        <v>195</v>
      </c>
      <c r="G245" s="18" t="str">
        <f>+VLOOKUP(F245,[1]Лист_1!$A:$C,2,0)</f>
        <v>771205786013</v>
      </c>
      <c r="H245" s="21">
        <v>1</v>
      </c>
      <c r="I245" s="26"/>
    </row>
    <row r="246" spans="1:9" s="13" customFormat="1" ht="35.1" customHeight="1">
      <c r="A246" s="6" t="s">
        <v>198</v>
      </c>
      <c r="B246" s="11" t="s">
        <v>257</v>
      </c>
      <c r="C246" s="12" t="s">
        <v>257</v>
      </c>
      <c r="D246" s="6" t="s">
        <v>138</v>
      </c>
      <c r="E246" s="6" t="s">
        <v>137</v>
      </c>
      <c r="F246" s="6" t="s">
        <v>198</v>
      </c>
      <c r="G246" s="18" t="str">
        <f>+VLOOKUP(F246,[1]Лист_1!$A:$C,2,0)</f>
        <v>771609521189</v>
      </c>
      <c r="H246" s="21">
        <v>1</v>
      </c>
      <c r="I246" s="26"/>
    </row>
    <row r="247" spans="1:9" s="13" customFormat="1" ht="35.1" customHeight="1">
      <c r="A247" s="6" t="s">
        <v>855</v>
      </c>
      <c r="B247" s="11" t="s">
        <v>257</v>
      </c>
      <c r="C247" s="12" t="s">
        <v>257</v>
      </c>
      <c r="D247" s="6" t="s">
        <v>138</v>
      </c>
      <c r="E247" s="6" t="s">
        <v>137</v>
      </c>
      <c r="F247" s="6" t="s">
        <v>855</v>
      </c>
      <c r="G247" s="18" t="str">
        <f>+VLOOKUP(F247,[1]Лист_1!$A:$C,2,0)</f>
        <v>774306661746</v>
      </c>
      <c r="H247" s="21">
        <v>1</v>
      </c>
      <c r="I247" s="26"/>
    </row>
    <row r="248" spans="1:9" s="13" customFormat="1" ht="35.1" customHeight="1">
      <c r="A248" s="29" t="s">
        <v>921</v>
      </c>
      <c r="B248" s="11" t="s">
        <v>257</v>
      </c>
      <c r="C248" s="12" t="s">
        <v>257</v>
      </c>
      <c r="D248" s="6" t="s">
        <v>138</v>
      </c>
      <c r="E248" s="6" t="s">
        <v>137</v>
      </c>
      <c r="F248" s="29" t="s">
        <v>921</v>
      </c>
      <c r="G248" s="18" t="str">
        <f>+VLOOKUP(F248,[1]Лист_1!$A:$C,2,0)</f>
        <v>771549455789</v>
      </c>
      <c r="H248" s="21">
        <v>1</v>
      </c>
      <c r="I248" s="26"/>
    </row>
    <row r="249" spans="1:9" s="13" customFormat="1" ht="35.1" customHeight="1">
      <c r="A249" s="6" t="s">
        <v>197</v>
      </c>
      <c r="B249" s="11" t="s">
        <v>257</v>
      </c>
      <c r="C249" s="12" t="s">
        <v>257</v>
      </c>
      <c r="D249" s="6" t="s">
        <v>138</v>
      </c>
      <c r="E249" s="6" t="s">
        <v>137</v>
      </c>
      <c r="F249" s="6" t="s">
        <v>197</v>
      </c>
      <c r="G249" s="18" t="str">
        <f>+VLOOKUP(F249,[1]Лист_1!$A:$C,2,0)</f>
        <v>771376672400</v>
      </c>
      <c r="H249" s="21">
        <v>0</v>
      </c>
      <c r="I249" s="26"/>
    </row>
    <row r="250" spans="1:9" s="13" customFormat="1" ht="35.1" customHeight="1">
      <c r="A250" s="6" t="s">
        <v>196</v>
      </c>
      <c r="B250" s="11" t="s">
        <v>257</v>
      </c>
      <c r="C250" s="12" t="s">
        <v>257</v>
      </c>
      <c r="D250" s="6" t="s">
        <v>138</v>
      </c>
      <c r="E250" s="6" t="s">
        <v>137</v>
      </c>
      <c r="F250" s="6" t="s">
        <v>196</v>
      </c>
      <c r="G250" s="18" t="str">
        <f>+VLOOKUP(F250,[1]Лист_1!$A:$C,2,0)</f>
        <v>524926649935</v>
      </c>
      <c r="H250" s="21">
        <v>1</v>
      </c>
      <c r="I250" s="26"/>
    </row>
    <row r="251" spans="1:9" s="13" customFormat="1" ht="35.1" customHeight="1">
      <c r="A251" s="6" t="s">
        <v>194</v>
      </c>
      <c r="B251" s="11" t="s">
        <v>257</v>
      </c>
      <c r="C251" s="12" t="s">
        <v>257</v>
      </c>
      <c r="D251" s="6" t="s">
        <v>138</v>
      </c>
      <c r="E251" s="6" t="s">
        <v>414</v>
      </c>
      <c r="F251" s="6" t="s">
        <v>194</v>
      </c>
      <c r="G251" s="18" t="str">
        <f>+VLOOKUP(F251,[1]Лист_1!$A:$C,2,0)</f>
        <v>772830944524</v>
      </c>
      <c r="H251" s="21">
        <v>1</v>
      </c>
      <c r="I251" s="26"/>
    </row>
    <row r="252" spans="1:9" s="13" customFormat="1" ht="35.1" customHeight="1">
      <c r="A252" s="6" t="s">
        <v>201</v>
      </c>
      <c r="B252" s="11" t="s">
        <v>257</v>
      </c>
      <c r="C252" s="12" t="s">
        <v>257</v>
      </c>
      <c r="D252" s="6" t="s">
        <v>594</v>
      </c>
      <c r="E252" s="6" t="s">
        <v>12</v>
      </c>
      <c r="F252" s="6" t="s">
        <v>201</v>
      </c>
      <c r="G252" s="18" t="str">
        <f>+VLOOKUP(F252,[1]Лист_1!$A:$C,2,0)</f>
        <v>682603275542</v>
      </c>
      <c r="H252" s="21">
        <v>1</v>
      </c>
      <c r="I252" s="26"/>
    </row>
    <row r="253" spans="1:9" s="13" customFormat="1" ht="35.1" customHeight="1">
      <c r="A253" s="6" t="s">
        <v>204</v>
      </c>
      <c r="B253" s="11" t="s">
        <v>257</v>
      </c>
      <c r="C253" s="12" t="s">
        <v>257</v>
      </c>
      <c r="D253" s="6" t="s">
        <v>594</v>
      </c>
      <c r="E253" s="6" t="s">
        <v>149</v>
      </c>
      <c r="F253" s="6" t="s">
        <v>204</v>
      </c>
      <c r="G253" s="18" t="str">
        <f>+VLOOKUP(F253,[1]Лист_1!$A:$C,2,0)</f>
        <v>500516091069</v>
      </c>
      <c r="H253" s="21">
        <v>1</v>
      </c>
      <c r="I253" s="26"/>
    </row>
    <row r="254" spans="1:9" s="13" customFormat="1" ht="35.1" customHeight="1">
      <c r="A254" s="6" t="s">
        <v>559</v>
      </c>
      <c r="B254" s="11" t="s">
        <v>257</v>
      </c>
      <c r="C254" s="12" t="s">
        <v>257</v>
      </c>
      <c r="D254" s="6" t="s">
        <v>594</v>
      </c>
      <c r="E254" s="6" t="s">
        <v>614</v>
      </c>
      <c r="F254" s="6" t="s">
        <v>559</v>
      </c>
      <c r="G254" s="18" t="str">
        <f>+VLOOKUP(F254,[1]Лист_1!$A:$C,2,0)</f>
        <v>511702081764</v>
      </c>
      <c r="H254" s="21">
        <v>0.82499999999999996</v>
      </c>
      <c r="I254" s="26"/>
    </row>
    <row r="255" spans="1:9" s="13" customFormat="1" ht="35.1" customHeight="1">
      <c r="A255" s="28" t="s">
        <v>25</v>
      </c>
      <c r="B255" s="11" t="s">
        <v>257</v>
      </c>
      <c r="C255" s="12" t="s">
        <v>257</v>
      </c>
      <c r="D255" s="6" t="s">
        <v>594</v>
      </c>
      <c r="E255" s="6" t="s">
        <v>614</v>
      </c>
      <c r="F255" s="28" t="s">
        <v>66</v>
      </c>
      <c r="G255" s="18"/>
      <c r="H255" s="21">
        <v>0.17499999999999999</v>
      </c>
      <c r="I255" s="26"/>
    </row>
    <row r="256" spans="1:9" s="13" customFormat="1" ht="35.1" customHeight="1">
      <c r="A256" s="29" t="s">
        <v>830</v>
      </c>
      <c r="B256" s="11" t="s">
        <v>257</v>
      </c>
      <c r="C256" s="12" t="s">
        <v>257</v>
      </c>
      <c r="D256" s="6" t="s">
        <v>594</v>
      </c>
      <c r="E256" s="6" t="s">
        <v>614</v>
      </c>
      <c r="F256" s="29" t="s">
        <v>830</v>
      </c>
      <c r="G256" s="18" t="str">
        <f>+VLOOKUP(F256,[1]Лист_1!$A:$C,2,0)</f>
        <v>212304921680</v>
      </c>
      <c r="H256" s="21">
        <v>1</v>
      </c>
      <c r="I256" s="26"/>
    </row>
    <row r="257" spans="1:9" s="13" customFormat="1" ht="35.1" customHeight="1">
      <c r="A257" s="6" t="s">
        <v>202</v>
      </c>
      <c r="B257" s="11" t="s">
        <v>257</v>
      </c>
      <c r="C257" s="12" t="s">
        <v>257</v>
      </c>
      <c r="D257" s="6" t="s">
        <v>594</v>
      </c>
      <c r="E257" s="6" t="s">
        <v>614</v>
      </c>
      <c r="F257" s="6" t="s">
        <v>202</v>
      </c>
      <c r="G257" s="18" t="str">
        <f>+VLOOKUP(F257,[1]Лист_1!$A:$C,2,0)</f>
        <v>614319711270</v>
      </c>
      <c r="H257" s="21">
        <v>1</v>
      </c>
      <c r="I257" s="26"/>
    </row>
    <row r="258" spans="1:9" s="13" customFormat="1" ht="35.1" customHeight="1">
      <c r="A258" s="28" t="s">
        <v>66</v>
      </c>
      <c r="B258" s="11" t="s">
        <v>257</v>
      </c>
      <c r="C258" s="12" t="s">
        <v>257</v>
      </c>
      <c r="D258" s="6" t="s">
        <v>594</v>
      </c>
      <c r="E258" s="6" t="s">
        <v>614</v>
      </c>
      <c r="F258" s="6" t="s">
        <v>203</v>
      </c>
      <c r="G258" s="18" t="str">
        <f>+VLOOKUP(F258,[1]Лист_1!$A:$C,2,0)</f>
        <v>771412202925</v>
      </c>
      <c r="H258" s="21">
        <v>1</v>
      </c>
      <c r="I258" s="26"/>
    </row>
    <row r="259" spans="1:9" s="13" customFormat="1" ht="35.1" customHeight="1">
      <c r="A259" s="29" t="s">
        <v>813</v>
      </c>
      <c r="B259" s="11" t="s">
        <v>257</v>
      </c>
      <c r="C259" s="12" t="s">
        <v>257</v>
      </c>
      <c r="D259" s="6" t="s">
        <v>594</v>
      </c>
      <c r="E259" s="6" t="s">
        <v>54</v>
      </c>
      <c r="F259" s="28" t="s">
        <v>66</v>
      </c>
      <c r="G259" s="47"/>
      <c r="H259" s="21">
        <v>0.5</v>
      </c>
      <c r="I259" s="26"/>
    </row>
    <row r="260" spans="1:9" s="13" customFormat="1" ht="35.1" customHeight="1">
      <c r="A260" s="29" t="s">
        <v>877</v>
      </c>
      <c r="B260" s="11" t="s">
        <v>257</v>
      </c>
      <c r="C260" s="12" t="s">
        <v>257</v>
      </c>
      <c r="D260" s="6" t="s">
        <v>594</v>
      </c>
      <c r="E260" s="6" t="s">
        <v>54</v>
      </c>
      <c r="F260" s="29" t="s">
        <v>877</v>
      </c>
      <c r="G260" s="18" t="str">
        <f>+VLOOKUP(F260,[1]Лист_1!$A:$C,2,0)</f>
        <v>760211361109</v>
      </c>
      <c r="H260" s="21">
        <v>0.5</v>
      </c>
      <c r="I260" s="26"/>
    </row>
    <row r="261" spans="1:9" s="13" customFormat="1" ht="35.1" customHeight="1">
      <c r="A261" s="6" t="s">
        <v>203</v>
      </c>
      <c r="B261" s="11" t="s">
        <v>257</v>
      </c>
      <c r="C261" s="12" t="s">
        <v>257</v>
      </c>
      <c r="D261" s="6" t="s">
        <v>594</v>
      </c>
      <c r="E261" s="6" t="s">
        <v>54</v>
      </c>
      <c r="F261" s="29" t="s">
        <v>813</v>
      </c>
      <c r="G261" s="18" t="str">
        <f>+VLOOKUP(F261,[1]Лист_1!$A:$C,2,0)</f>
        <v>773615303312</v>
      </c>
      <c r="H261" s="21">
        <v>1</v>
      </c>
      <c r="I261" s="26"/>
    </row>
    <row r="262" spans="1:9" s="13" customFormat="1" ht="35.1" customHeight="1">
      <c r="A262" s="6" t="s">
        <v>166</v>
      </c>
      <c r="B262" s="11" t="s">
        <v>257</v>
      </c>
      <c r="C262" s="12" t="s">
        <v>257</v>
      </c>
      <c r="D262" s="6" t="s">
        <v>594</v>
      </c>
      <c r="E262" s="6" t="s">
        <v>54</v>
      </c>
      <c r="F262" s="6" t="s">
        <v>166</v>
      </c>
      <c r="G262" s="18" t="str">
        <f>+VLOOKUP(F262,[1]Лист_1!$A:$C,2,0)</f>
        <v>773670882220</v>
      </c>
      <c r="H262" s="20">
        <v>1</v>
      </c>
      <c r="I262" s="26"/>
    </row>
    <row r="263" spans="1:9" s="13" customFormat="1" ht="35.1" customHeight="1">
      <c r="A263" s="29" t="s">
        <v>700</v>
      </c>
      <c r="B263" s="11" t="s">
        <v>257</v>
      </c>
      <c r="C263" s="12" t="s">
        <v>257</v>
      </c>
      <c r="D263" s="6" t="s">
        <v>594</v>
      </c>
      <c r="E263" s="6" t="s">
        <v>54</v>
      </c>
      <c r="F263" s="29" t="s">
        <v>700</v>
      </c>
      <c r="G263" s="18" t="str">
        <f>+VLOOKUP(F263,[1]Лист_1!$A:$C,2,0)</f>
        <v>507506635795</v>
      </c>
      <c r="H263" s="21">
        <v>1</v>
      </c>
      <c r="I263" s="26"/>
    </row>
    <row r="264" spans="1:9" s="13" customFormat="1" ht="35.1" customHeight="1">
      <c r="A264" s="6" t="s">
        <v>205</v>
      </c>
      <c r="B264" s="11" t="s">
        <v>257</v>
      </c>
      <c r="C264" s="12" t="s">
        <v>257</v>
      </c>
      <c r="D264" s="6" t="s">
        <v>140</v>
      </c>
      <c r="E264" s="6" t="s">
        <v>12</v>
      </c>
      <c r="F264" s="6" t="s">
        <v>205</v>
      </c>
      <c r="G264" s="18" t="str">
        <f>+VLOOKUP(F264,[1]Лист_1!$A:$C,2,0)</f>
        <v>500111707110</v>
      </c>
      <c r="H264" s="21">
        <v>1</v>
      </c>
      <c r="I264" s="26"/>
    </row>
    <row r="265" spans="1:9" s="13" customFormat="1" ht="35.1" customHeight="1">
      <c r="A265" s="6" t="s">
        <v>207</v>
      </c>
      <c r="B265" s="11" t="s">
        <v>257</v>
      </c>
      <c r="C265" s="12" t="s">
        <v>257</v>
      </c>
      <c r="D265" s="6" t="s">
        <v>140</v>
      </c>
      <c r="E265" s="6" t="s">
        <v>141</v>
      </c>
      <c r="F265" s="6" t="s">
        <v>207</v>
      </c>
      <c r="G265" s="18" t="str">
        <f>+VLOOKUP(F265,[1]Лист_1!$A:$C,2,0)</f>
        <v>560404949124</v>
      </c>
      <c r="H265" s="21">
        <v>1</v>
      </c>
      <c r="I265" s="26"/>
    </row>
    <row r="266" spans="1:9" s="13" customFormat="1" ht="35.1" customHeight="1">
      <c r="A266" s="29" t="s">
        <v>824</v>
      </c>
      <c r="B266" s="11" t="s">
        <v>257</v>
      </c>
      <c r="C266" s="12" t="s">
        <v>257</v>
      </c>
      <c r="D266" s="6" t="s">
        <v>140</v>
      </c>
      <c r="E266" s="6" t="s">
        <v>715</v>
      </c>
      <c r="F266" s="29" t="s">
        <v>824</v>
      </c>
      <c r="G266" s="18" t="str">
        <f>+VLOOKUP(F266,[1]Лист_1!$A:$C,2,0)</f>
        <v>772917331346</v>
      </c>
      <c r="H266" s="21">
        <v>1</v>
      </c>
      <c r="I266" s="26"/>
    </row>
    <row r="267" spans="1:9" s="13" customFormat="1" ht="35.1" customHeight="1">
      <c r="A267" s="6" t="s">
        <v>206</v>
      </c>
      <c r="B267" s="11" t="s">
        <v>257</v>
      </c>
      <c r="C267" s="12" t="s">
        <v>257</v>
      </c>
      <c r="D267" s="6" t="s">
        <v>140</v>
      </c>
      <c r="E267" s="6" t="s">
        <v>715</v>
      </c>
      <c r="F267" s="6" t="s">
        <v>206</v>
      </c>
      <c r="G267" s="18" t="str">
        <f>+VLOOKUP(F267,[1]Лист_1!$A:$C,2,0)</f>
        <v>401100999043</v>
      </c>
      <c r="H267" s="21">
        <v>1</v>
      </c>
      <c r="I267" s="26"/>
    </row>
    <row r="268" spans="1:9" s="13" customFormat="1" ht="35.1" customHeight="1">
      <c r="A268" s="29" t="s">
        <v>777</v>
      </c>
      <c r="B268" s="11" t="s">
        <v>257</v>
      </c>
      <c r="C268" s="12" t="s">
        <v>257</v>
      </c>
      <c r="D268" s="6" t="s">
        <v>140</v>
      </c>
      <c r="E268" s="6" t="s">
        <v>614</v>
      </c>
      <c r="F268" s="29" t="s">
        <v>777</v>
      </c>
      <c r="G268" s="18" t="str">
        <f>+VLOOKUP(F268,[1]Лист_1!$A:$C,2,0)</f>
        <v>612103861350</v>
      </c>
      <c r="H268" s="21">
        <v>1</v>
      </c>
      <c r="I268" s="26"/>
    </row>
    <row r="269" spans="1:9" s="13" customFormat="1" ht="44.45" customHeight="1">
      <c r="A269" s="28" t="s">
        <v>66</v>
      </c>
      <c r="B269" s="11" t="s">
        <v>257</v>
      </c>
      <c r="C269" s="12" t="s">
        <v>257</v>
      </c>
      <c r="D269" s="6" t="s">
        <v>140</v>
      </c>
      <c r="E269" s="6" t="s">
        <v>614</v>
      </c>
      <c r="F269" s="28" t="s">
        <v>66</v>
      </c>
      <c r="G269" s="18"/>
      <c r="H269" s="21">
        <v>1</v>
      </c>
      <c r="I269" s="26"/>
    </row>
    <row r="270" spans="1:9" s="13" customFormat="1" ht="44.45" customHeight="1">
      <c r="A270" s="28" t="s">
        <v>66</v>
      </c>
      <c r="B270" s="11" t="s">
        <v>257</v>
      </c>
      <c r="C270" s="12" t="s">
        <v>257</v>
      </c>
      <c r="D270" s="6" t="s">
        <v>140</v>
      </c>
      <c r="E270" s="6" t="s">
        <v>614</v>
      </c>
      <c r="F270" s="28" t="s">
        <v>66</v>
      </c>
      <c r="G270" s="18"/>
      <c r="H270" s="21">
        <v>1</v>
      </c>
      <c r="I270" s="26"/>
    </row>
    <row r="271" spans="1:9" s="13" customFormat="1" ht="35.1" customHeight="1">
      <c r="A271" s="6" t="s">
        <v>214</v>
      </c>
      <c r="B271" s="11" t="s">
        <v>257</v>
      </c>
      <c r="C271" s="12" t="s">
        <v>257</v>
      </c>
      <c r="D271" s="6" t="s">
        <v>919</v>
      </c>
      <c r="E271" s="6" t="s">
        <v>67</v>
      </c>
      <c r="F271" s="6" t="s">
        <v>214</v>
      </c>
      <c r="G271" s="18" t="str">
        <f>+VLOOKUP(F271,[1]Лист_1!$A:$C,2,0)</f>
        <v>781641614081</v>
      </c>
      <c r="H271" s="21">
        <v>1</v>
      </c>
      <c r="I271" s="26"/>
    </row>
    <row r="272" spans="1:9" s="13" customFormat="1" ht="35.1" customHeight="1">
      <c r="A272" s="29" t="s">
        <v>688</v>
      </c>
      <c r="B272" s="11" t="s">
        <v>257</v>
      </c>
      <c r="C272" s="12" t="s">
        <v>257</v>
      </c>
      <c r="D272" s="6" t="s">
        <v>142</v>
      </c>
      <c r="E272" s="6" t="s">
        <v>715</v>
      </c>
      <c r="F272" s="29" t="s">
        <v>688</v>
      </c>
      <c r="G272" s="18" t="str">
        <f>+VLOOKUP(F272,[1]Лист_1!$A:$C,2,0)</f>
        <v>400406392617</v>
      </c>
      <c r="H272" s="21">
        <v>1</v>
      </c>
      <c r="I272" s="26"/>
    </row>
    <row r="273" spans="1:9" s="13" customFormat="1" ht="35.1" customHeight="1">
      <c r="A273" s="6" t="s">
        <v>208</v>
      </c>
      <c r="B273" s="11" t="s">
        <v>257</v>
      </c>
      <c r="C273" s="12" t="s">
        <v>257</v>
      </c>
      <c r="D273" s="6" t="s">
        <v>142</v>
      </c>
      <c r="E273" s="6" t="s">
        <v>715</v>
      </c>
      <c r="F273" s="6" t="s">
        <v>208</v>
      </c>
      <c r="G273" s="18" t="str">
        <f>+VLOOKUP(F273,[1]Лист_1!$A:$C,2,0)</f>
        <v>231520972030</v>
      </c>
      <c r="H273" s="21">
        <v>1</v>
      </c>
      <c r="I273" s="26"/>
    </row>
    <row r="274" spans="1:9" s="13" customFormat="1" ht="35.1" customHeight="1">
      <c r="A274" s="6" t="s">
        <v>209</v>
      </c>
      <c r="B274" s="11" t="s">
        <v>257</v>
      </c>
      <c r="C274" s="12" t="s">
        <v>257</v>
      </c>
      <c r="D274" s="6" t="s">
        <v>142</v>
      </c>
      <c r="E274" s="6" t="s">
        <v>715</v>
      </c>
      <c r="F274" s="6" t="s">
        <v>209</v>
      </c>
      <c r="G274" s="18" t="str">
        <f>+VLOOKUP(F274,[1]Лист_1!$A:$C,2,0)</f>
        <v>502715665924</v>
      </c>
      <c r="H274" s="21">
        <v>1</v>
      </c>
      <c r="I274" s="26"/>
    </row>
    <row r="275" spans="1:9" s="13" customFormat="1" ht="35.1" customHeight="1">
      <c r="A275" s="6" t="s">
        <v>210</v>
      </c>
      <c r="B275" s="11" t="s">
        <v>257</v>
      </c>
      <c r="C275" s="12" t="s">
        <v>257</v>
      </c>
      <c r="D275" s="6" t="s">
        <v>142</v>
      </c>
      <c r="E275" s="6" t="s">
        <v>715</v>
      </c>
      <c r="F275" s="6" t="s">
        <v>210</v>
      </c>
      <c r="G275" s="18" t="str">
        <f>+VLOOKUP(F275,[1]Лист_1!$A:$C,2,0)</f>
        <v>773180536044</v>
      </c>
      <c r="H275" s="21">
        <v>1</v>
      </c>
      <c r="I275" s="26"/>
    </row>
    <row r="276" spans="1:9" s="13" customFormat="1" ht="35.1" customHeight="1">
      <c r="A276" s="6" t="s">
        <v>211</v>
      </c>
      <c r="B276" s="11" t="s">
        <v>257</v>
      </c>
      <c r="C276" s="12" t="s">
        <v>257</v>
      </c>
      <c r="D276" s="6" t="s">
        <v>142</v>
      </c>
      <c r="E276" s="6" t="s">
        <v>715</v>
      </c>
      <c r="F276" s="6" t="s">
        <v>211</v>
      </c>
      <c r="G276" s="18" t="str">
        <f>+VLOOKUP(F276,[1]Лист_1!$A:$C,2,0)</f>
        <v>774335299094</v>
      </c>
      <c r="H276" s="21">
        <v>1</v>
      </c>
      <c r="I276" s="26"/>
    </row>
    <row r="277" spans="1:9" s="13" customFormat="1" ht="35.1" customHeight="1">
      <c r="A277" s="6" t="s">
        <v>212</v>
      </c>
      <c r="B277" s="11" t="s">
        <v>257</v>
      </c>
      <c r="C277" s="12" t="s">
        <v>257</v>
      </c>
      <c r="D277" s="6" t="s">
        <v>142</v>
      </c>
      <c r="E277" s="6" t="s">
        <v>715</v>
      </c>
      <c r="F277" s="6" t="s">
        <v>212</v>
      </c>
      <c r="G277" s="18" t="str">
        <f>+VLOOKUP(F277,[1]Лист_1!$A:$C,2,0)</f>
        <v>780434474028</v>
      </c>
      <c r="H277" s="21">
        <v>1</v>
      </c>
      <c r="I277" s="26"/>
    </row>
    <row r="278" spans="1:9" s="13" customFormat="1" ht="35.1" customHeight="1">
      <c r="A278" s="29" t="s">
        <v>853</v>
      </c>
      <c r="B278" s="11" t="s">
        <v>257</v>
      </c>
      <c r="C278" s="12" t="s">
        <v>257</v>
      </c>
      <c r="D278" s="6" t="s">
        <v>142</v>
      </c>
      <c r="E278" s="6" t="s">
        <v>614</v>
      </c>
      <c r="F278" s="29" t="s">
        <v>853</v>
      </c>
      <c r="G278" s="18" t="str">
        <f>+VLOOKUP(F278,[1]Лист_1!$A:$C,2,0)</f>
        <v>770474333676</v>
      </c>
      <c r="H278" s="21">
        <v>1</v>
      </c>
      <c r="I278" s="26"/>
    </row>
    <row r="279" spans="1:9" s="13" customFormat="1" ht="35.1" customHeight="1">
      <c r="A279" s="29" t="s">
        <v>241</v>
      </c>
      <c r="B279" s="11" t="s">
        <v>257</v>
      </c>
      <c r="C279" s="12" t="s">
        <v>257</v>
      </c>
      <c r="D279" s="6" t="s">
        <v>142</v>
      </c>
      <c r="E279" s="6" t="s">
        <v>54</v>
      </c>
      <c r="F279" s="29" t="s">
        <v>241</v>
      </c>
      <c r="G279" s="18" t="str">
        <f>+VLOOKUP(F279,[1]Лист_1!$A:$C,2,0)</f>
        <v>501605022654</v>
      </c>
      <c r="H279" s="21">
        <v>0.4</v>
      </c>
      <c r="I279" s="26"/>
    </row>
    <row r="280" spans="1:9" s="13" customFormat="1" ht="35.1" customHeight="1">
      <c r="A280" s="29" t="s">
        <v>798</v>
      </c>
      <c r="B280" s="11" t="s">
        <v>257</v>
      </c>
      <c r="C280" s="12" t="s">
        <v>7</v>
      </c>
      <c r="D280" s="6" t="s">
        <v>142</v>
      </c>
      <c r="E280" s="6" t="s">
        <v>54</v>
      </c>
      <c r="F280" s="29" t="s">
        <v>798</v>
      </c>
      <c r="G280" s="18" t="str">
        <f>+VLOOKUP(F280,[1]Лист_1!$A:$C,2,0)</f>
        <v>560306671223</v>
      </c>
      <c r="H280" s="21">
        <v>0.6</v>
      </c>
      <c r="I280" s="26"/>
    </row>
    <row r="281" spans="1:9" s="13" customFormat="1" ht="35.1" customHeight="1">
      <c r="A281" s="6" t="s">
        <v>213</v>
      </c>
      <c r="B281" s="11" t="s">
        <v>257</v>
      </c>
      <c r="C281" s="12" t="s">
        <v>257</v>
      </c>
      <c r="D281" s="6" t="s">
        <v>142</v>
      </c>
      <c r="E281" s="6" t="s">
        <v>618</v>
      </c>
      <c r="F281" s="6" t="s">
        <v>213</v>
      </c>
      <c r="G281" s="18" t="str">
        <f>+VLOOKUP(F281,[1]Лист_1!$A:$C,2,0)</f>
        <v>772408146998</v>
      </c>
      <c r="H281" s="21">
        <v>1</v>
      </c>
      <c r="I281" s="26"/>
    </row>
    <row r="282" spans="1:9" s="13" customFormat="1" ht="35.1" customHeight="1">
      <c r="A282" s="6" t="s">
        <v>218</v>
      </c>
      <c r="B282" s="11" t="s">
        <v>257</v>
      </c>
      <c r="C282" s="12" t="s">
        <v>257</v>
      </c>
      <c r="D282" s="6" t="s">
        <v>898</v>
      </c>
      <c r="E282" s="6" t="s">
        <v>14</v>
      </c>
      <c r="F282" s="6" t="s">
        <v>218</v>
      </c>
      <c r="G282" s="18" t="str">
        <f>+VLOOKUP(F282,[1]Лист_1!$A:$C,2,0)</f>
        <v>081409878710</v>
      </c>
      <c r="H282" s="21">
        <v>1</v>
      </c>
      <c r="I282" s="26"/>
    </row>
    <row r="283" spans="1:9" s="13" customFormat="1" ht="35.1" customHeight="1">
      <c r="A283" s="6" t="s">
        <v>219</v>
      </c>
      <c r="B283" s="11" t="s">
        <v>257</v>
      </c>
      <c r="C283" s="12" t="s">
        <v>257</v>
      </c>
      <c r="D283" s="6" t="s">
        <v>898</v>
      </c>
      <c r="E283" s="6" t="s">
        <v>15</v>
      </c>
      <c r="F283" s="6" t="s">
        <v>219</v>
      </c>
      <c r="G283" s="18" t="str">
        <f>+VLOOKUP(F283,[1]Лист_1!$A:$C,2,0)</f>
        <v>691007870802</v>
      </c>
      <c r="H283" s="21">
        <v>1</v>
      </c>
      <c r="I283" s="26"/>
    </row>
    <row r="284" spans="1:9" s="13" customFormat="1" ht="35.1" customHeight="1">
      <c r="A284" s="6" t="s">
        <v>597</v>
      </c>
      <c r="B284" s="11" t="s">
        <v>257</v>
      </c>
      <c r="C284" s="12" t="s">
        <v>257</v>
      </c>
      <c r="D284" s="6" t="s">
        <v>898</v>
      </c>
      <c r="E284" s="6" t="s">
        <v>614</v>
      </c>
      <c r="F284" s="6" t="s">
        <v>597</v>
      </c>
      <c r="G284" s="18" t="str">
        <f>+VLOOKUP(F284,[1]Лист_1!$A:$C,2,0)</f>
        <v>591501619901</v>
      </c>
      <c r="H284" s="21">
        <v>1</v>
      </c>
      <c r="I284" s="26"/>
    </row>
    <row r="285" spans="1:9" s="13" customFormat="1" ht="35.1" customHeight="1">
      <c r="A285" s="29" t="s">
        <v>938</v>
      </c>
      <c r="B285" s="11" t="s">
        <v>257</v>
      </c>
      <c r="C285" s="12" t="s">
        <v>257</v>
      </c>
      <c r="D285" s="6" t="s">
        <v>898</v>
      </c>
      <c r="E285" s="6" t="s">
        <v>614</v>
      </c>
      <c r="F285" s="29" t="s">
        <v>938</v>
      </c>
      <c r="G285" s="18" t="str">
        <f>+VLOOKUP(F285,[1]Лист_1!$A:$C,2,0)</f>
        <v>773582986325</v>
      </c>
      <c r="H285" s="21">
        <v>1</v>
      </c>
      <c r="I285" s="26"/>
    </row>
    <row r="286" spans="1:9" s="13" customFormat="1" ht="35.1" customHeight="1">
      <c r="A286" s="29" t="s">
        <v>772</v>
      </c>
      <c r="B286" s="11" t="s">
        <v>257</v>
      </c>
      <c r="C286" s="12" t="s">
        <v>257</v>
      </c>
      <c r="D286" s="6" t="s">
        <v>898</v>
      </c>
      <c r="E286" s="6" t="s">
        <v>54</v>
      </c>
      <c r="F286" s="29" t="s">
        <v>772</v>
      </c>
      <c r="G286" s="18" t="str">
        <f>+VLOOKUP(F286,[1]Лист_1!$A:$C,2,0)</f>
        <v>770975730240</v>
      </c>
      <c r="H286" s="21">
        <v>1</v>
      </c>
      <c r="I286" s="26"/>
    </row>
    <row r="287" spans="1:9" s="13" customFormat="1" ht="35.1" customHeight="1">
      <c r="A287" s="6" t="s">
        <v>220</v>
      </c>
      <c r="B287" s="11" t="s">
        <v>257</v>
      </c>
      <c r="C287" s="12" t="s">
        <v>257</v>
      </c>
      <c r="D287" s="6" t="s">
        <v>898</v>
      </c>
      <c r="E287" s="6" t="s">
        <v>54</v>
      </c>
      <c r="F287" s="6" t="s">
        <v>220</v>
      </c>
      <c r="G287" s="18" t="str">
        <f>+VLOOKUP(F287,[1]Лист_1!$A:$C,2,0)</f>
        <v>661403965520</v>
      </c>
      <c r="H287" s="21">
        <v>0.4</v>
      </c>
      <c r="I287" s="26"/>
    </row>
    <row r="288" spans="1:9" s="13" customFormat="1" ht="35.1" customHeight="1">
      <c r="A288" s="29" t="s">
        <v>684</v>
      </c>
      <c r="B288" s="11" t="s">
        <v>257</v>
      </c>
      <c r="C288" s="12" t="s">
        <v>257</v>
      </c>
      <c r="D288" s="6" t="s">
        <v>898</v>
      </c>
      <c r="E288" s="6" t="s">
        <v>54</v>
      </c>
      <c r="F288" s="29" t="s">
        <v>684</v>
      </c>
      <c r="G288" s="18" t="str">
        <f>+VLOOKUP(F288,[1]Лист_1!$A:$C,2,0)</f>
        <v>771377109399</v>
      </c>
      <c r="H288" s="21">
        <v>0.25</v>
      </c>
      <c r="I288" s="26"/>
    </row>
    <row r="289" spans="1:9" s="13" customFormat="1" ht="35.1" customHeight="1">
      <c r="A289" s="6" t="s">
        <v>222</v>
      </c>
      <c r="B289" s="11" t="s">
        <v>257</v>
      </c>
      <c r="C289" s="12" t="s">
        <v>257</v>
      </c>
      <c r="D289" s="6" t="s">
        <v>898</v>
      </c>
      <c r="E289" s="6" t="s">
        <v>54</v>
      </c>
      <c r="F289" s="6" t="s">
        <v>222</v>
      </c>
      <c r="G289" s="18" t="str">
        <f>+VLOOKUP(F289,[1]Лист_1!$A:$C,2,0)</f>
        <v>245723699278</v>
      </c>
      <c r="H289" s="21">
        <v>0.35</v>
      </c>
      <c r="I289" s="26"/>
    </row>
    <row r="290" spans="1:9" s="13" customFormat="1" ht="35.1" customHeight="1">
      <c r="A290" s="6" t="s">
        <v>223</v>
      </c>
      <c r="B290" s="11" t="s">
        <v>257</v>
      </c>
      <c r="C290" s="12" t="s">
        <v>257</v>
      </c>
      <c r="D290" s="6" t="s">
        <v>898</v>
      </c>
      <c r="E290" s="6" t="s">
        <v>54</v>
      </c>
      <c r="F290" s="6" t="s">
        <v>223</v>
      </c>
      <c r="G290" s="18" t="str">
        <f>+VLOOKUP(F290,[1]Лист_1!$A:$C,2,0)</f>
        <v>771578126404</v>
      </c>
      <c r="H290" s="21">
        <v>0</v>
      </c>
      <c r="I290" s="26"/>
    </row>
    <row r="291" spans="1:9" s="13" customFormat="1" ht="53.25" customHeight="1">
      <c r="A291" s="6" t="s">
        <v>882</v>
      </c>
      <c r="B291" s="11" t="s">
        <v>257</v>
      </c>
      <c r="C291" s="12" t="s">
        <v>257</v>
      </c>
      <c r="D291" s="6" t="s">
        <v>898</v>
      </c>
      <c r="E291" s="6" t="s">
        <v>54</v>
      </c>
      <c r="F291" s="6" t="s">
        <v>882</v>
      </c>
      <c r="G291" s="18" t="str">
        <f>+VLOOKUP(F291,[1]Лист_1!$A:$C,2,0)</f>
        <v>972701377431</v>
      </c>
      <c r="H291" s="21">
        <v>1</v>
      </c>
      <c r="I291" s="26"/>
    </row>
    <row r="292" spans="1:9" s="13" customFormat="1" ht="35.1" customHeight="1">
      <c r="A292" s="6" t="s">
        <v>647</v>
      </c>
      <c r="B292" s="11" t="s">
        <v>257</v>
      </c>
      <c r="C292" s="12" t="s">
        <v>257</v>
      </c>
      <c r="D292" s="6" t="s">
        <v>898</v>
      </c>
      <c r="E292" s="6" t="s">
        <v>54</v>
      </c>
      <c r="F292" s="6" t="s">
        <v>647</v>
      </c>
      <c r="G292" s="18" t="str">
        <f>+VLOOKUP(F292,[1]Лист_1!$A:$C,2,0)</f>
        <v>500173667812</v>
      </c>
      <c r="H292" s="21">
        <v>1</v>
      </c>
      <c r="I292" s="26"/>
    </row>
    <row r="293" spans="1:9" s="13" customFormat="1" ht="35.1" customHeight="1">
      <c r="A293" s="6" t="s">
        <v>225</v>
      </c>
      <c r="B293" s="11" t="s">
        <v>257</v>
      </c>
      <c r="C293" s="12" t="s">
        <v>257</v>
      </c>
      <c r="D293" s="6" t="s">
        <v>898</v>
      </c>
      <c r="E293" s="6" t="s">
        <v>54</v>
      </c>
      <c r="F293" s="28" t="s">
        <v>66</v>
      </c>
      <c r="G293" s="18"/>
      <c r="H293" s="21">
        <v>1</v>
      </c>
      <c r="I293" s="26"/>
    </row>
    <row r="294" spans="1:9" s="13" customFormat="1" ht="35.1" customHeight="1">
      <c r="A294" s="6" t="s">
        <v>224</v>
      </c>
      <c r="B294" s="11" t="s">
        <v>257</v>
      </c>
      <c r="C294" s="12" t="s">
        <v>257</v>
      </c>
      <c r="D294" s="6" t="s">
        <v>898</v>
      </c>
      <c r="E294" s="6" t="s">
        <v>54</v>
      </c>
      <c r="F294" s="6" t="s">
        <v>224</v>
      </c>
      <c r="G294" s="18" t="str">
        <f>+VLOOKUP(F294,[1]Лист_1!$A:$C,2,0)</f>
        <v>771599382462</v>
      </c>
      <c r="H294" s="21">
        <v>1</v>
      </c>
      <c r="I294" s="26"/>
    </row>
    <row r="295" spans="1:9" s="13" customFormat="1" ht="35.1" customHeight="1">
      <c r="A295" s="6" t="s">
        <v>226</v>
      </c>
      <c r="B295" s="11" t="s">
        <v>257</v>
      </c>
      <c r="C295" s="12" t="s">
        <v>257</v>
      </c>
      <c r="D295" s="6" t="s">
        <v>898</v>
      </c>
      <c r="E295" s="6" t="s">
        <v>54</v>
      </c>
      <c r="F295" s="6" t="s">
        <v>226</v>
      </c>
      <c r="G295" s="18" t="str">
        <f>+VLOOKUP(F295,[1]Лист_1!$A:$C,2,0)</f>
        <v>540819282981</v>
      </c>
      <c r="H295" s="21">
        <v>1</v>
      </c>
      <c r="I295" s="26"/>
    </row>
    <row r="296" spans="1:9" s="13" customFormat="1" ht="35.1" customHeight="1">
      <c r="A296" s="6" t="s">
        <v>221</v>
      </c>
      <c r="B296" s="11" t="s">
        <v>257</v>
      </c>
      <c r="C296" s="12" t="s">
        <v>257</v>
      </c>
      <c r="D296" s="6" t="s">
        <v>898</v>
      </c>
      <c r="E296" s="6" t="s">
        <v>54</v>
      </c>
      <c r="F296" s="6" t="s">
        <v>221</v>
      </c>
      <c r="G296" s="18" t="str">
        <f>+VLOOKUP(F296,[1]Лист_1!$A:$C,2,0)</f>
        <v>772303017794</v>
      </c>
      <c r="H296" s="21">
        <v>1</v>
      </c>
      <c r="I296" s="26"/>
    </row>
    <row r="297" spans="1:9" s="13" customFormat="1" ht="35.1" customHeight="1">
      <c r="A297" s="6" t="s">
        <v>227</v>
      </c>
      <c r="B297" s="11" t="s">
        <v>257</v>
      </c>
      <c r="C297" s="12" t="s">
        <v>257</v>
      </c>
      <c r="D297" s="6" t="s">
        <v>899</v>
      </c>
      <c r="E297" s="6" t="s">
        <v>52</v>
      </c>
      <c r="F297" s="6" t="s">
        <v>227</v>
      </c>
      <c r="G297" s="18" t="str">
        <f>+VLOOKUP(F297,[1]Лист_1!$A:$C,2,0)</f>
        <v>561900374250</v>
      </c>
      <c r="H297" s="21">
        <v>1</v>
      </c>
      <c r="I297" s="26"/>
    </row>
    <row r="298" spans="1:9" s="13" customFormat="1" ht="35.1" customHeight="1">
      <c r="A298" s="6" t="s">
        <v>231</v>
      </c>
      <c r="B298" s="11" t="s">
        <v>257</v>
      </c>
      <c r="C298" s="12" t="s">
        <v>257</v>
      </c>
      <c r="D298" s="6" t="s">
        <v>899</v>
      </c>
      <c r="E298" s="6" t="s">
        <v>68</v>
      </c>
      <c r="F298" s="6" t="s">
        <v>231</v>
      </c>
      <c r="G298" s="18" t="str">
        <f>+VLOOKUP(F298,[1]Лист_1!$A:$C,2,0)</f>
        <v>237202875242</v>
      </c>
      <c r="H298" s="21">
        <v>1</v>
      </c>
      <c r="I298" s="26"/>
    </row>
    <row r="299" spans="1:9" s="13" customFormat="1" ht="35.1" customHeight="1">
      <c r="A299" s="6" t="s">
        <v>228</v>
      </c>
      <c r="B299" s="11" t="s">
        <v>257</v>
      </c>
      <c r="C299" s="12" t="s">
        <v>257</v>
      </c>
      <c r="D299" s="6" t="s">
        <v>899</v>
      </c>
      <c r="E299" s="6" t="s">
        <v>604</v>
      </c>
      <c r="F299" s="6" t="s">
        <v>228</v>
      </c>
      <c r="G299" s="18" t="str">
        <f>+VLOOKUP(F299,[1]Лист_1!$A:$C,2,0)</f>
        <v>504204564542</v>
      </c>
      <c r="H299" s="21">
        <v>1</v>
      </c>
      <c r="I299" s="26"/>
    </row>
    <row r="300" spans="1:9" s="13" customFormat="1" ht="35.1" customHeight="1">
      <c r="A300" s="18" t="s">
        <v>264</v>
      </c>
      <c r="B300" s="11" t="s">
        <v>257</v>
      </c>
      <c r="C300" s="12" t="s">
        <v>257</v>
      </c>
      <c r="D300" s="6" t="s">
        <v>900</v>
      </c>
      <c r="E300" s="18" t="s">
        <v>14</v>
      </c>
      <c r="F300" s="6" t="s">
        <v>264</v>
      </c>
      <c r="G300" s="18" t="str">
        <f>+VLOOKUP(F300,[1]Лист_1!$A:$C,2,0)</f>
        <v>462005458975</v>
      </c>
      <c r="H300" s="21">
        <v>1</v>
      </c>
      <c r="I300" s="26"/>
    </row>
    <row r="301" spans="1:9" s="13" customFormat="1" ht="35.1" customHeight="1">
      <c r="A301" s="18" t="s">
        <v>265</v>
      </c>
      <c r="B301" s="11" t="s">
        <v>257</v>
      </c>
      <c r="C301" s="12" t="s">
        <v>257</v>
      </c>
      <c r="D301" s="6" t="s">
        <v>900</v>
      </c>
      <c r="E301" s="18" t="s">
        <v>614</v>
      </c>
      <c r="F301" s="6" t="s">
        <v>265</v>
      </c>
      <c r="G301" s="18" t="str">
        <f>+VLOOKUP(F301,[1]Лист_1!$A:$C,2,0)</f>
        <v>773389537233</v>
      </c>
      <c r="H301" s="20">
        <v>1</v>
      </c>
      <c r="I301" s="26"/>
    </row>
    <row r="302" spans="1:9" s="13" customFormat="1" ht="35.1" customHeight="1">
      <c r="A302" s="19" t="s">
        <v>25</v>
      </c>
      <c r="B302" s="11" t="s">
        <v>257</v>
      </c>
      <c r="C302" s="12" t="s">
        <v>257</v>
      </c>
      <c r="D302" s="6" t="s">
        <v>900</v>
      </c>
      <c r="E302" s="18" t="s">
        <v>614</v>
      </c>
      <c r="F302" s="28" t="s">
        <v>66</v>
      </c>
      <c r="G302" s="18"/>
      <c r="H302" s="21">
        <v>1</v>
      </c>
      <c r="I302" s="26"/>
    </row>
    <row r="303" spans="1:9" s="13" customFormat="1" ht="35.1" customHeight="1">
      <c r="A303" s="18" t="s">
        <v>230</v>
      </c>
      <c r="B303" s="11" t="s">
        <v>257</v>
      </c>
      <c r="C303" s="12" t="s">
        <v>257</v>
      </c>
      <c r="D303" s="6" t="s">
        <v>900</v>
      </c>
      <c r="E303" s="18" t="s">
        <v>54</v>
      </c>
      <c r="F303" s="6" t="s">
        <v>230</v>
      </c>
      <c r="G303" s="18" t="str">
        <f>+VLOOKUP(F303,[1]Лист_1!$A:$C,2,0)</f>
        <v>771551336740</v>
      </c>
      <c r="H303" s="21">
        <v>1</v>
      </c>
      <c r="I303" s="26"/>
    </row>
    <row r="304" spans="1:9" s="13" customFormat="1" ht="35.1" customHeight="1">
      <c r="A304" s="31" t="s">
        <v>742</v>
      </c>
      <c r="B304" s="11" t="s">
        <v>257</v>
      </c>
      <c r="C304" s="12" t="s">
        <v>257</v>
      </c>
      <c r="D304" s="6" t="s">
        <v>900</v>
      </c>
      <c r="E304" s="18" t="s">
        <v>26</v>
      </c>
      <c r="F304" s="29" t="s">
        <v>742</v>
      </c>
      <c r="G304" s="18" t="str">
        <f>+VLOOKUP(F304,[1]Лист_1!$A:$C,2,0)</f>
        <v>771673958755</v>
      </c>
      <c r="H304" s="21">
        <v>1</v>
      </c>
      <c r="I304" s="26"/>
    </row>
    <row r="305" spans="1:9" s="13" customFormat="1" ht="35.1" customHeight="1">
      <c r="A305" s="18" t="s">
        <v>229</v>
      </c>
      <c r="B305" s="11" t="s">
        <v>257</v>
      </c>
      <c r="C305" s="12" t="s">
        <v>257</v>
      </c>
      <c r="D305" s="6" t="s">
        <v>900</v>
      </c>
      <c r="E305" s="18" t="s">
        <v>54</v>
      </c>
      <c r="F305" s="6" t="s">
        <v>229</v>
      </c>
      <c r="G305" s="18" t="str">
        <f>+VLOOKUP(F305,[1]Лист_1!$A:$C,2,0)</f>
        <v>772207263490</v>
      </c>
      <c r="H305" s="21">
        <v>1</v>
      </c>
      <c r="I305" s="26"/>
    </row>
    <row r="306" spans="1:9" s="13" customFormat="1" ht="35.1" customHeight="1">
      <c r="A306" s="18" t="s">
        <v>161</v>
      </c>
      <c r="B306" s="11" t="s">
        <v>257</v>
      </c>
      <c r="C306" s="12" t="s">
        <v>258</v>
      </c>
      <c r="D306" s="6" t="s">
        <v>900</v>
      </c>
      <c r="E306" s="18" t="s">
        <v>55</v>
      </c>
      <c r="F306" s="6" t="s">
        <v>161</v>
      </c>
      <c r="G306" s="18" t="str">
        <f>+VLOOKUP(F306,[1]Лист_1!$A:$C,2,0)</f>
        <v>505012829902</v>
      </c>
      <c r="H306" s="21">
        <v>1</v>
      </c>
      <c r="I306" s="26"/>
    </row>
    <row r="307" spans="1:9" s="13" customFormat="1" ht="35.1" customHeight="1">
      <c r="A307" s="6" t="s">
        <v>124</v>
      </c>
      <c r="B307" s="11" t="s">
        <v>257</v>
      </c>
      <c r="C307" s="12" t="s">
        <v>257</v>
      </c>
      <c r="D307" s="6" t="s">
        <v>143</v>
      </c>
      <c r="E307" s="6" t="s">
        <v>14</v>
      </c>
      <c r="F307" s="6" t="s">
        <v>124</v>
      </c>
      <c r="G307" s="18" t="str">
        <f>+VLOOKUP(F307,[1]Лист_1!$A:$C,2,0)</f>
        <v>772161451805</v>
      </c>
      <c r="H307" s="21">
        <v>1</v>
      </c>
      <c r="I307" s="26"/>
    </row>
    <row r="308" spans="1:9" s="13" customFormat="1" ht="35.1" customHeight="1">
      <c r="A308" s="6" t="s">
        <v>215</v>
      </c>
      <c r="B308" s="11" t="s">
        <v>257</v>
      </c>
      <c r="C308" s="12" t="s">
        <v>257</v>
      </c>
      <c r="D308" s="6" t="s">
        <v>143</v>
      </c>
      <c r="E308" s="6" t="s">
        <v>15</v>
      </c>
      <c r="F308" s="6" t="s">
        <v>215</v>
      </c>
      <c r="G308" s="18" t="str">
        <f>+VLOOKUP(F308,[1]Лист_1!$A:$C,2,0)</f>
        <v>681203307727</v>
      </c>
      <c r="H308" s="21">
        <v>1</v>
      </c>
      <c r="I308" s="26"/>
    </row>
    <row r="309" spans="1:9" s="13" customFormat="1" ht="35.1" customHeight="1">
      <c r="A309" s="6" t="s">
        <v>216</v>
      </c>
      <c r="B309" s="11" t="s">
        <v>257</v>
      </c>
      <c r="C309" s="12" t="s">
        <v>257</v>
      </c>
      <c r="D309" s="6" t="s">
        <v>143</v>
      </c>
      <c r="E309" s="6" t="s">
        <v>635</v>
      </c>
      <c r="F309" s="6" t="s">
        <v>216</v>
      </c>
      <c r="G309" s="18" t="str">
        <f>+VLOOKUP(F309,[1]Лист_1!$A:$C,2,0)</f>
        <v>504711886122</v>
      </c>
      <c r="H309" s="21">
        <v>0</v>
      </c>
      <c r="I309" s="26"/>
    </row>
    <row r="310" spans="1:9" s="13" customFormat="1" ht="35.1" customHeight="1">
      <c r="A310" s="29" t="s">
        <v>741</v>
      </c>
      <c r="B310" s="11" t="s">
        <v>257</v>
      </c>
      <c r="C310" s="12" t="s">
        <v>257</v>
      </c>
      <c r="D310" s="6" t="s">
        <v>143</v>
      </c>
      <c r="E310" s="6" t="s">
        <v>635</v>
      </c>
      <c r="F310" s="29" t="s">
        <v>741</v>
      </c>
      <c r="G310" s="18" t="str">
        <f>+VLOOKUP(F310,[1]Лист_1!$A:$C,2,0)</f>
        <v>667115622213</v>
      </c>
      <c r="H310" s="21">
        <v>1</v>
      </c>
      <c r="I310" s="26"/>
    </row>
    <row r="311" spans="1:9" s="13" customFormat="1" ht="35.1" customHeight="1">
      <c r="A311" s="29" t="s">
        <v>651</v>
      </c>
      <c r="B311" s="11" t="s">
        <v>257</v>
      </c>
      <c r="C311" s="12" t="s">
        <v>257</v>
      </c>
      <c r="D311" s="6" t="s">
        <v>143</v>
      </c>
      <c r="E311" s="6" t="s">
        <v>635</v>
      </c>
      <c r="F311" s="29" t="s">
        <v>651</v>
      </c>
      <c r="G311" s="18" t="str">
        <f>+VLOOKUP(F311,[1]Лист_1!$A:$C,2,0)</f>
        <v>772143173552</v>
      </c>
      <c r="H311" s="21">
        <v>1</v>
      </c>
      <c r="I311" s="26"/>
    </row>
    <row r="312" spans="1:9" s="13" customFormat="1" ht="35.1" customHeight="1">
      <c r="A312" s="6" t="s">
        <v>217</v>
      </c>
      <c r="B312" s="11" t="s">
        <v>257</v>
      </c>
      <c r="C312" s="12" t="s">
        <v>257</v>
      </c>
      <c r="D312" s="6" t="s">
        <v>143</v>
      </c>
      <c r="E312" s="6" t="s">
        <v>635</v>
      </c>
      <c r="F312" s="6" t="s">
        <v>217</v>
      </c>
      <c r="G312" s="18" t="str">
        <f>+VLOOKUP(F312,[1]Лист_1!$A:$C,2,0)</f>
        <v>771596683743</v>
      </c>
      <c r="H312" s="21">
        <v>1</v>
      </c>
      <c r="I312" s="26"/>
    </row>
    <row r="313" spans="1:9" s="13" customFormat="1" ht="35.1" customHeight="1">
      <c r="A313" s="6" t="s">
        <v>165</v>
      </c>
      <c r="B313" s="11" t="s">
        <v>257</v>
      </c>
      <c r="C313" s="12" t="s">
        <v>257</v>
      </c>
      <c r="D313" s="6" t="s">
        <v>143</v>
      </c>
      <c r="E313" s="6" t="s">
        <v>635</v>
      </c>
      <c r="F313" s="6" t="s">
        <v>165</v>
      </c>
      <c r="G313" s="18" t="str">
        <f>+VLOOKUP(F313,[1]Лист_1!$A:$C,2,0)</f>
        <v>501212684848</v>
      </c>
      <c r="H313" s="21">
        <v>1</v>
      </c>
      <c r="I313" s="26"/>
    </row>
    <row r="314" spans="1:9" s="13" customFormat="1" ht="35.1" customHeight="1">
      <c r="A314" s="29" t="s">
        <v>659</v>
      </c>
      <c r="B314" s="11" t="s">
        <v>257</v>
      </c>
      <c r="C314" s="12" t="s">
        <v>257</v>
      </c>
      <c r="D314" s="6" t="s">
        <v>143</v>
      </c>
      <c r="E314" s="6" t="s">
        <v>635</v>
      </c>
      <c r="F314" s="29" t="s">
        <v>659</v>
      </c>
      <c r="G314" s="18" t="str">
        <f>+VLOOKUP(F314,[1]Лист_1!$A:$C,2,0)</f>
        <v>213012121230</v>
      </c>
      <c r="H314" s="21">
        <v>1</v>
      </c>
      <c r="I314" s="26"/>
    </row>
    <row r="315" spans="1:9" s="13" customFormat="1" ht="35.1" customHeight="1">
      <c r="A315" s="28" t="s">
        <v>25</v>
      </c>
      <c r="B315" s="11" t="s">
        <v>257</v>
      </c>
      <c r="C315" s="12" t="s">
        <v>257</v>
      </c>
      <c r="D315" s="6" t="s">
        <v>143</v>
      </c>
      <c r="E315" s="6" t="s">
        <v>635</v>
      </c>
      <c r="F315" s="6" t="s">
        <v>117</v>
      </c>
      <c r="G315" s="18" t="str">
        <f>+VLOOKUP(F315,[1]Лист_1!$A:$C,2,0)</f>
        <v>382707060166</v>
      </c>
      <c r="H315" s="21">
        <v>1</v>
      </c>
      <c r="I315" s="26"/>
    </row>
    <row r="316" spans="1:9" s="13" customFormat="1" ht="35.1" customHeight="1">
      <c r="A316" s="6" t="s">
        <v>661</v>
      </c>
      <c r="B316" s="11" t="s">
        <v>257</v>
      </c>
      <c r="C316" s="12" t="s">
        <v>968</v>
      </c>
      <c r="D316" s="6" t="s">
        <v>144</v>
      </c>
      <c r="E316" s="6" t="s">
        <v>14</v>
      </c>
      <c r="F316" s="6" t="s">
        <v>661</v>
      </c>
      <c r="G316" s="18" t="str">
        <f>+VLOOKUP(F316,[1]Лист_1!$A:$C,2,0)</f>
        <v>324902034655</v>
      </c>
      <c r="H316" s="21">
        <v>0</v>
      </c>
      <c r="I316" s="26"/>
    </row>
    <row r="317" spans="1:9" s="13" customFormat="1" ht="35.1" customHeight="1">
      <c r="A317" s="6" t="s">
        <v>816</v>
      </c>
      <c r="B317" s="11" t="s">
        <v>257</v>
      </c>
      <c r="C317" s="12" t="s">
        <v>968</v>
      </c>
      <c r="D317" s="6" t="s">
        <v>144</v>
      </c>
      <c r="E317" s="6" t="s">
        <v>14</v>
      </c>
      <c r="F317" s="6" t="s">
        <v>816</v>
      </c>
      <c r="G317" s="18" t="str">
        <f>+VLOOKUP(F317,[1]Лист_1!$A:$C,2,0)</f>
        <v>774308464415</v>
      </c>
      <c r="H317" s="21">
        <v>0.35</v>
      </c>
      <c r="I317" s="26"/>
    </row>
    <row r="318" spans="1:9" s="13" customFormat="1" ht="35.1" customHeight="1">
      <c r="A318" s="29" t="s">
        <v>857</v>
      </c>
      <c r="B318" s="11" t="s">
        <v>257</v>
      </c>
      <c r="C318" s="12" t="s">
        <v>968</v>
      </c>
      <c r="D318" s="6" t="s">
        <v>144</v>
      </c>
      <c r="E318" s="6" t="s">
        <v>14</v>
      </c>
      <c r="F318" s="29" t="s">
        <v>857</v>
      </c>
      <c r="G318" s="18" t="str">
        <f>+VLOOKUP(F318,[1]Лист_1!$A:$C,2,0)</f>
        <v>632404287703</v>
      </c>
      <c r="H318" s="21">
        <v>0.3</v>
      </c>
      <c r="I318" s="26"/>
    </row>
    <row r="319" spans="1:9" s="13" customFormat="1" ht="35.1" customHeight="1">
      <c r="A319" s="29" t="s">
        <v>858</v>
      </c>
      <c r="B319" s="11" t="s">
        <v>257</v>
      </c>
      <c r="C319" s="12" t="s">
        <v>968</v>
      </c>
      <c r="D319" s="6" t="s">
        <v>144</v>
      </c>
      <c r="E319" s="6" t="s">
        <v>14</v>
      </c>
      <c r="F319" s="29" t="s">
        <v>858</v>
      </c>
      <c r="G319" s="18" t="str">
        <f>+VLOOKUP(F319,[1]Лист_1!$A:$C,2,0)</f>
        <v>772744421506</v>
      </c>
      <c r="H319" s="21">
        <v>0.2</v>
      </c>
      <c r="I319" s="26"/>
    </row>
    <row r="320" spans="1:9" s="13" customFormat="1" ht="35.1" customHeight="1">
      <c r="A320" s="29" t="s">
        <v>791</v>
      </c>
      <c r="B320" s="11" t="s">
        <v>257</v>
      </c>
      <c r="C320" s="12" t="s">
        <v>968</v>
      </c>
      <c r="D320" s="6" t="s">
        <v>144</v>
      </c>
      <c r="E320" s="6" t="s">
        <v>14</v>
      </c>
      <c r="F320" s="29" t="s">
        <v>791</v>
      </c>
      <c r="G320" s="18" t="str">
        <f>+VLOOKUP(F320,[1]Лист_1!$A:$C,2,0)</f>
        <v>772619820775</v>
      </c>
      <c r="H320" s="21">
        <v>0.15</v>
      </c>
      <c r="I320" s="26"/>
    </row>
    <row r="321" spans="1:9" s="13" customFormat="1" ht="35.1" customHeight="1">
      <c r="A321" s="29" t="s">
        <v>870</v>
      </c>
      <c r="B321" s="11" t="s">
        <v>257</v>
      </c>
      <c r="C321" s="12" t="s">
        <v>968</v>
      </c>
      <c r="D321" s="6" t="s">
        <v>144</v>
      </c>
      <c r="E321" s="6" t="s">
        <v>15</v>
      </c>
      <c r="F321" s="29" t="s">
        <v>870</v>
      </c>
      <c r="G321" s="18" t="str">
        <f>+VLOOKUP(F321,[1]Лист_1!$A:$C,2,0)</f>
        <v>744612432150</v>
      </c>
      <c r="H321" s="21">
        <v>1</v>
      </c>
      <c r="I321" s="26"/>
    </row>
    <row r="322" spans="1:9" s="13" customFormat="1" ht="35.1" customHeight="1">
      <c r="A322" s="6" t="s">
        <v>561</v>
      </c>
      <c r="B322" s="11" t="s">
        <v>257</v>
      </c>
      <c r="C322" s="12" t="s">
        <v>968</v>
      </c>
      <c r="D322" s="6" t="s">
        <v>144</v>
      </c>
      <c r="E322" s="6" t="s">
        <v>604</v>
      </c>
      <c r="F322" s="6" t="s">
        <v>561</v>
      </c>
      <c r="G322" s="18" t="str">
        <f>+VLOOKUP(F322,[1]Лист_1!$A:$C,2,0)</f>
        <v>110110730305</v>
      </c>
      <c r="H322" s="20">
        <v>1</v>
      </c>
      <c r="I322" s="26"/>
    </row>
    <row r="323" spans="1:9" s="13" customFormat="1" ht="35.1" customHeight="1">
      <c r="A323" s="29" t="s">
        <v>875</v>
      </c>
      <c r="B323" s="11" t="s">
        <v>257</v>
      </c>
      <c r="C323" s="12" t="s">
        <v>968</v>
      </c>
      <c r="D323" s="6" t="s">
        <v>144</v>
      </c>
      <c r="E323" s="6" t="s">
        <v>54</v>
      </c>
      <c r="F323" s="29" t="s">
        <v>875</v>
      </c>
      <c r="G323" s="18" t="str">
        <f>+VLOOKUP(F323,[1]Лист_1!$A:$C,2,0)</f>
        <v>771877401105</v>
      </c>
      <c r="H323" s="21">
        <v>1</v>
      </c>
      <c r="I323" s="26"/>
    </row>
    <row r="324" spans="1:9" s="13" customFormat="1" ht="35.1" customHeight="1">
      <c r="A324" s="29" t="s">
        <v>870</v>
      </c>
      <c r="B324" s="11" t="s">
        <v>257</v>
      </c>
      <c r="C324" s="12" t="s">
        <v>968</v>
      </c>
      <c r="D324" s="6" t="s">
        <v>144</v>
      </c>
      <c r="E324" s="6" t="s">
        <v>54</v>
      </c>
      <c r="F324" s="29" t="s">
        <v>870</v>
      </c>
      <c r="G324" s="18" t="str">
        <f>+VLOOKUP(F324,[1]Лист_1!$A:$C,2,0)</f>
        <v>744612432150</v>
      </c>
      <c r="H324" s="21">
        <v>0.5</v>
      </c>
      <c r="I324" s="26"/>
    </row>
    <row r="325" spans="1:9" s="13" customFormat="1" ht="35.1" customHeight="1">
      <c r="A325" s="29" t="s">
        <v>875</v>
      </c>
      <c r="B325" s="11" t="s">
        <v>257</v>
      </c>
      <c r="C325" s="12" t="s">
        <v>968</v>
      </c>
      <c r="D325" s="6" t="s">
        <v>144</v>
      </c>
      <c r="E325" s="6" t="s">
        <v>54</v>
      </c>
      <c r="F325" s="29" t="s">
        <v>875</v>
      </c>
      <c r="G325" s="18" t="str">
        <f>+VLOOKUP(F325,[1]Лист_1!$A:$C,2,0)</f>
        <v>771877401105</v>
      </c>
      <c r="H325" s="21">
        <v>0.5</v>
      </c>
      <c r="I325" s="26"/>
    </row>
    <row r="326" spans="1:9" s="13" customFormat="1" ht="35.1" customHeight="1">
      <c r="A326" s="6" t="s">
        <v>884</v>
      </c>
      <c r="B326" s="11" t="s">
        <v>257</v>
      </c>
      <c r="C326" s="12" t="s">
        <v>968</v>
      </c>
      <c r="D326" s="6" t="s">
        <v>144</v>
      </c>
      <c r="E326" s="6" t="s">
        <v>54</v>
      </c>
      <c r="F326" s="6" t="s">
        <v>884</v>
      </c>
      <c r="G326" s="18" t="str">
        <f>+VLOOKUP(F326,[1]Лист_1!$A:$C,2,0)</f>
        <v>691508432052</v>
      </c>
      <c r="H326" s="21">
        <v>1</v>
      </c>
      <c r="I326" s="26"/>
    </row>
    <row r="327" spans="1:9" s="13" customFormat="1" ht="35.1" customHeight="1">
      <c r="A327" s="6" t="s">
        <v>876</v>
      </c>
      <c r="B327" s="11" t="s">
        <v>257</v>
      </c>
      <c r="C327" s="12" t="s">
        <v>968</v>
      </c>
      <c r="D327" s="6" t="s">
        <v>144</v>
      </c>
      <c r="E327" s="6" t="s">
        <v>55</v>
      </c>
      <c r="F327" s="6" t="s">
        <v>876</v>
      </c>
      <c r="G327" s="18" t="str">
        <f>+VLOOKUP(F327,[1]Лист_1!$A:$C,2,0)</f>
        <v>772397217531</v>
      </c>
      <c r="H327" s="21">
        <v>1</v>
      </c>
      <c r="I327" s="26"/>
    </row>
    <row r="328" spans="1:9" s="13" customFormat="1" ht="35.1" customHeight="1">
      <c r="A328" s="6" t="s">
        <v>876</v>
      </c>
      <c r="B328" s="11" t="s">
        <v>257</v>
      </c>
      <c r="C328" s="12" t="s">
        <v>968</v>
      </c>
      <c r="D328" s="6" t="s">
        <v>144</v>
      </c>
      <c r="E328" s="6" t="s">
        <v>55</v>
      </c>
      <c r="F328" s="6" t="s">
        <v>876</v>
      </c>
      <c r="G328" s="18" t="str">
        <f>+VLOOKUP(F328,[1]Лист_1!$A:$C,2,0)</f>
        <v>772397217531</v>
      </c>
      <c r="H328" s="21">
        <v>0.5</v>
      </c>
      <c r="I328" s="26"/>
    </row>
    <row r="329" spans="1:9" s="13" customFormat="1" ht="35.1" customHeight="1">
      <c r="A329" s="6" t="s">
        <v>588</v>
      </c>
      <c r="B329" s="11" t="s">
        <v>257</v>
      </c>
      <c r="C329" s="12" t="s">
        <v>968</v>
      </c>
      <c r="D329" s="6" t="s">
        <v>144</v>
      </c>
      <c r="E329" s="6" t="s">
        <v>55</v>
      </c>
      <c r="F329" s="6" t="s">
        <v>588</v>
      </c>
      <c r="G329" s="18" t="str">
        <f>+VLOOKUP(F329,[1]Лист_1!$A:$C,2,0)</f>
        <v>772882115084</v>
      </c>
      <c r="H329" s="21">
        <v>0.3</v>
      </c>
      <c r="I329" s="26"/>
    </row>
    <row r="330" spans="1:9" s="13" customFormat="1" ht="35.1" customHeight="1">
      <c r="A330" s="6" t="s">
        <v>432</v>
      </c>
      <c r="B330" s="11" t="s">
        <v>257</v>
      </c>
      <c r="C330" s="12" t="s">
        <v>968</v>
      </c>
      <c r="D330" s="6" t="s">
        <v>144</v>
      </c>
      <c r="E330" s="6" t="s">
        <v>55</v>
      </c>
      <c r="F330" s="6" t="s">
        <v>432</v>
      </c>
      <c r="G330" s="18" t="str">
        <f>+VLOOKUP(F330,[1]Лист_1!$A:$C,2,0)</f>
        <v>645324970507</v>
      </c>
      <c r="H330" s="21">
        <v>0.2</v>
      </c>
      <c r="I330" s="26"/>
    </row>
    <row r="331" spans="1:9" s="13" customFormat="1" ht="35.1" customHeight="1">
      <c r="A331" s="6" t="s">
        <v>233</v>
      </c>
      <c r="B331" s="11" t="s">
        <v>257</v>
      </c>
      <c r="C331" s="12" t="s">
        <v>968</v>
      </c>
      <c r="D331" s="6" t="s">
        <v>145</v>
      </c>
      <c r="E331" s="6" t="s">
        <v>14</v>
      </c>
      <c r="F331" s="6" t="s">
        <v>233</v>
      </c>
      <c r="G331" s="18" t="str">
        <f>+VLOOKUP(F331,[1]Лист_1!$A:$C,2,0)</f>
        <v>771381855840</v>
      </c>
      <c r="H331" s="21">
        <v>1</v>
      </c>
      <c r="I331" s="26"/>
    </row>
    <row r="332" spans="1:9" s="13" customFormat="1" ht="35.1" customHeight="1">
      <c r="A332" s="6" t="s">
        <v>232</v>
      </c>
      <c r="B332" s="11" t="s">
        <v>257</v>
      </c>
      <c r="C332" s="12" t="s">
        <v>968</v>
      </c>
      <c r="D332" s="6" t="s">
        <v>145</v>
      </c>
      <c r="E332" s="6" t="s">
        <v>15</v>
      </c>
      <c r="F332" s="6" t="s">
        <v>232</v>
      </c>
      <c r="G332" s="18" t="str">
        <f>+VLOOKUP(F332,[1]Лист_1!$A:$C,2,0)</f>
        <v>772155710586</v>
      </c>
      <c r="H332" s="21">
        <v>1</v>
      </c>
      <c r="I332" s="26"/>
    </row>
    <row r="333" spans="1:9" s="13" customFormat="1" ht="35.1" customHeight="1">
      <c r="A333" s="6" t="s">
        <v>235</v>
      </c>
      <c r="B333" s="11" t="s">
        <v>257</v>
      </c>
      <c r="C333" s="12" t="s">
        <v>968</v>
      </c>
      <c r="D333" s="6" t="s">
        <v>145</v>
      </c>
      <c r="E333" s="6" t="s">
        <v>54</v>
      </c>
      <c r="F333" s="6" t="s">
        <v>235</v>
      </c>
      <c r="G333" s="18" t="str">
        <f>+VLOOKUP(F333,[1]Лист_1!$A:$C,2,0)</f>
        <v>263607515289</v>
      </c>
      <c r="H333" s="21">
        <v>1</v>
      </c>
      <c r="I333" s="26"/>
    </row>
    <row r="334" spans="1:9" s="13" customFormat="1" ht="35.1" customHeight="1">
      <c r="A334" s="6" t="s">
        <v>234</v>
      </c>
      <c r="B334" s="11" t="s">
        <v>257</v>
      </c>
      <c r="C334" s="12" t="s">
        <v>968</v>
      </c>
      <c r="D334" s="6" t="s">
        <v>145</v>
      </c>
      <c r="E334" s="6" t="s">
        <v>54</v>
      </c>
      <c r="F334" s="6" t="s">
        <v>234</v>
      </c>
      <c r="G334" s="18" t="str">
        <f>+VLOOKUP(F334,[1]Лист_1!$A:$C,2,0)</f>
        <v>772494422208</v>
      </c>
      <c r="H334" s="21">
        <v>1</v>
      </c>
      <c r="I334" s="26"/>
    </row>
    <row r="335" spans="1:9" s="13" customFormat="1" ht="35.1" customHeight="1">
      <c r="A335" s="29" t="s">
        <v>669</v>
      </c>
      <c r="B335" s="11" t="s">
        <v>257</v>
      </c>
      <c r="C335" s="12" t="s">
        <v>56</v>
      </c>
      <c r="D335" s="6" t="s">
        <v>145</v>
      </c>
      <c r="E335" s="6" t="s">
        <v>54</v>
      </c>
      <c r="F335" s="29" t="s">
        <v>669</v>
      </c>
      <c r="G335" s="18" t="str">
        <f>+VLOOKUP(F335,[1]Лист_1!$A:$C,2,0)</f>
        <v>711707838203</v>
      </c>
      <c r="H335" s="21">
        <v>0.5</v>
      </c>
      <c r="I335" s="26"/>
    </row>
    <row r="336" spans="1:9" s="13" customFormat="1" ht="35.1" customHeight="1">
      <c r="A336" s="6" t="s">
        <v>587</v>
      </c>
      <c r="B336" s="11" t="s">
        <v>257</v>
      </c>
      <c r="C336" s="12" t="s">
        <v>968</v>
      </c>
      <c r="D336" s="6" t="s">
        <v>145</v>
      </c>
      <c r="E336" s="6" t="s">
        <v>54</v>
      </c>
      <c r="F336" s="6" t="s">
        <v>587</v>
      </c>
      <c r="G336" s="18" t="str">
        <f>+VLOOKUP(F336,[1]Лист_1!$A:$C,2,0)</f>
        <v>772166367410</v>
      </c>
      <c r="H336" s="21">
        <v>0.3</v>
      </c>
      <c r="I336" s="26"/>
    </row>
    <row r="337" spans="1:9" s="13" customFormat="1" ht="35.1" customHeight="1">
      <c r="A337" s="6" t="s">
        <v>581</v>
      </c>
      <c r="B337" s="11" t="s">
        <v>257</v>
      </c>
      <c r="C337" s="12" t="s">
        <v>968</v>
      </c>
      <c r="D337" s="6" t="s">
        <v>145</v>
      </c>
      <c r="E337" s="6" t="s">
        <v>54</v>
      </c>
      <c r="F337" s="6" t="s">
        <v>581</v>
      </c>
      <c r="G337" s="18" t="str">
        <f>+VLOOKUP(F337,[1]Лист_1!$A:$C,2,0)</f>
        <v>771585024403</v>
      </c>
      <c r="H337" s="21">
        <v>0.2</v>
      </c>
      <c r="I337" s="26"/>
    </row>
    <row r="338" spans="1:9" s="13" customFormat="1" ht="35.1" customHeight="1">
      <c r="A338" s="29" t="s">
        <v>881</v>
      </c>
      <c r="B338" s="11" t="s">
        <v>257</v>
      </c>
      <c r="C338" s="12" t="s">
        <v>968</v>
      </c>
      <c r="D338" s="6" t="s">
        <v>145</v>
      </c>
      <c r="E338" s="6" t="s">
        <v>55</v>
      </c>
      <c r="F338" s="29" t="s">
        <v>881</v>
      </c>
      <c r="G338" s="18" t="str">
        <f>+VLOOKUP(F338,[1]Лист_1!$A:$C,2,0)</f>
        <v>324106509903</v>
      </c>
      <c r="H338" s="21">
        <v>1</v>
      </c>
      <c r="I338" s="26"/>
    </row>
    <row r="339" spans="1:9" s="13" customFormat="1" ht="35.1" customHeight="1">
      <c r="A339" s="29" t="s">
        <v>774</v>
      </c>
      <c r="B339" s="11" t="s">
        <v>257</v>
      </c>
      <c r="C339" s="12" t="s">
        <v>968</v>
      </c>
      <c r="D339" s="6" t="s">
        <v>145</v>
      </c>
      <c r="E339" s="6" t="s">
        <v>55</v>
      </c>
      <c r="F339" s="29" t="s">
        <v>774</v>
      </c>
      <c r="G339" s="18" t="str">
        <f>+VLOOKUP(F339,[1]Лист_1!$A:$C,2,0)</f>
        <v>772863687368</v>
      </c>
      <c r="H339" s="21">
        <v>1</v>
      </c>
      <c r="I339" s="26"/>
    </row>
    <row r="340" spans="1:9" s="13" customFormat="1" ht="35.1" customHeight="1">
      <c r="A340" s="18" t="s">
        <v>236</v>
      </c>
      <c r="B340" s="11" t="s">
        <v>257</v>
      </c>
      <c r="C340" s="12" t="s">
        <v>257</v>
      </c>
      <c r="D340" s="6" t="s">
        <v>146</v>
      </c>
      <c r="E340" s="18" t="s">
        <v>67</v>
      </c>
      <c r="F340" s="6" t="s">
        <v>236</v>
      </c>
      <c r="G340" s="18" t="str">
        <f>+VLOOKUP(F340,[1]Лист_1!$A:$C,2,0)</f>
        <v>771880820875</v>
      </c>
      <c r="H340" s="21">
        <v>1</v>
      </c>
      <c r="I340" s="26"/>
    </row>
    <row r="341" spans="1:9" s="13" customFormat="1" ht="35.1" customHeight="1">
      <c r="A341" s="6" t="s">
        <v>237</v>
      </c>
      <c r="B341" s="11" t="s">
        <v>257</v>
      </c>
      <c r="C341" s="12" t="s">
        <v>257</v>
      </c>
      <c r="D341" s="6" t="s">
        <v>147</v>
      </c>
      <c r="E341" s="6" t="s">
        <v>148</v>
      </c>
      <c r="F341" s="6" t="s">
        <v>237</v>
      </c>
      <c r="G341" s="18" t="str">
        <f>+VLOOKUP(F341,[1]Лист_1!$A:$C,2,0)</f>
        <v>771410923150</v>
      </c>
      <c r="H341" s="21">
        <v>1</v>
      </c>
      <c r="I341" s="26"/>
    </row>
    <row r="342" spans="1:9" s="13" customFormat="1" ht="35.1" customHeight="1">
      <c r="A342" s="6" t="s">
        <v>782</v>
      </c>
      <c r="B342" s="11" t="s">
        <v>257</v>
      </c>
      <c r="C342" s="12" t="s">
        <v>257</v>
      </c>
      <c r="D342" s="6" t="s">
        <v>147</v>
      </c>
      <c r="E342" s="6" t="s">
        <v>149</v>
      </c>
      <c r="F342" s="6" t="s">
        <v>782</v>
      </c>
      <c r="G342" s="18" t="str">
        <f>+VLOOKUP(F342,[1]Лист_1!$A:$C,2,0)</f>
        <v>511005937744</v>
      </c>
      <c r="H342" s="21">
        <v>1</v>
      </c>
      <c r="I342" s="26"/>
    </row>
    <row r="343" spans="1:9" s="13" customFormat="1" ht="35.1" customHeight="1">
      <c r="A343" s="6" t="s">
        <v>238</v>
      </c>
      <c r="B343" s="11" t="s">
        <v>257</v>
      </c>
      <c r="C343" s="12" t="s">
        <v>257</v>
      </c>
      <c r="D343" s="6" t="s">
        <v>147</v>
      </c>
      <c r="E343" s="6" t="s">
        <v>614</v>
      </c>
      <c r="F343" s="6" t="s">
        <v>238</v>
      </c>
      <c r="G343" s="18" t="str">
        <f>+VLOOKUP(F343,[1]Лист_1!$A:$C,2,0)</f>
        <v>370402744725</v>
      </c>
      <c r="H343" s="21">
        <v>1</v>
      </c>
      <c r="I343" s="26"/>
    </row>
    <row r="344" spans="1:9" s="13" customFormat="1" ht="35.1" customHeight="1">
      <c r="A344" s="29" t="s">
        <v>676</v>
      </c>
      <c r="B344" s="11" t="s">
        <v>257</v>
      </c>
      <c r="C344" s="12" t="s">
        <v>257</v>
      </c>
      <c r="D344" s="6" t="s">
        <v>147</v>
      </c>
      <c r="E344" s="6" t="s">
        <v>614</v>
      </c>
      <c r="F344" s="29" t="s">
        <v>676</v>
      </c>
      <c r="G344" s="18" t="str">
        <f>+VLOOKUP(F344,[1]Лист_1!$A:$C,2,0)</f>
        <v>773323867255</v>
      </c>
      <c r="H344" s="21">
        <v>1</v>
      </c>
      <c r="I344" s="26"/>
    </row>
    <row r="345" spans="1:9" s="13" customFormat="1" ht="35.1" customHeight="1">
      <c r="A345" s="28" t="s">
        <v>915</v>
      </c>
      <c r="B345" s="11" t="s">
        <v>257</v>
      </c>
      <c r="C345" s="12" t="s">
        <v>257</v>
      </c>
      <c r="D345" s="6" t="s">
        <v>147</v>
      </c>
      <c r="E345" s="6" t="s">
        <v>614</v>
      </c>
      <c r="F345" s="28" t="s">
        <v>66</v>
      </c>
      <c r="G345" s="18"/>
      <c r="H345" s="21">
        <v>1</v>
      </c>
      <c r="I345" s="26"/>
    </row>
    <row r="346" spans="1:9" s="13" customFormat="1" ht="35.1" customHeight="1">
      <c r="A346" s="29" t="s">
        <v>766</v>
      </c>
      <c r="B346" s="11" t="s">
        <v>257</v>
      </c>
      <c r="C346" s="12" t="s">
        <v>257</v>
      </c>
      <c r="D346" s="6" t="s">
        <v>147</v>
      </c>
      <c r="E346" s="6" t="s">
        <v>614</v>
      </c>
      <c r="F346" s="29" t="s">
        <v>766</v>
      </c>
      <c r="G346" s="18" t="str">
        <f>+VLOOKUP(F346,[1]Лист_1!$A:$C,2,0)</f>
        <v>773125900888</v>
      </c>
      <c r="H346" s="21">
        <v>0.7</v>
      </c>
      <c r="I346" s="26"/>
    </row>
    <row r="347" spans="1:9" s="13" customFormat="1" ht="35.1" customHeight="1">
      <c r="A347" s="6" t="s">
        <v>683</v>
      </c>
      <c r="B347" s="11" t="s">
        <v>257</v>
      </c>
      <c r="C347" s="12" t="s">
        <v>257</v>
      </c>
      <c r="D347" s="6" t="s">
        <v>147</v>
      </c>
      <c r="E347" s="6" t="s">
        <v>614</v>
      </c>
      <c r="F347" s="6" t="s">
        <v>683</v>
      </c>
      <c r="G347" s="18" t="str">
        <f>+VLOOKUP(F347,[1]Лист_1!$A:$C,2,0)</f>
        <v>773212824672</v>
      </c>
      <c r="H347" s="21">
        <v>0.3</v>
      </c>
      <c r="I347" s="26"/>
    </row>
    <row r="348" spans="1:9" s="13" customFormat="1" ht="35.1" customHeight="1">
      <c r="A348" s="6" t="s">
        <v>246</v>
      </c>
      <c r="B348" s="11" t="s">
        <v>257</v>
      </c>
      <c r="C348" s="12" t="s">
        <v>257</v>
      </c>
      <c r="D348" s="6" t="s">
        <v>147</v>
      </c>
      <c r="E348" s="6" t="s">
        <v>614</v>
      </c>
      <c r="F348" s="6" t="s">
        <v>246</v>
      </c>
      <c r="G348" s="18" t="str">
        <f>+VLOOKUP(F348,[1]Лист_1!$A:$C,2,0)</f>
        <v>771411534163</v>
      </c>
      <c r="H348" s="21">
        <v>1</v>
      </c>
      <c r="I348" s="26"/>
    </row>
    <row r="349" spans="1:9" s="13" customFormat="1" ht="35.1" customHeight="1">
      <c r="A349" s="29" t="s">
        <v>866</v>
      </c>
      <c r="B349" s="11" t="s">
        <v>257</v>
      </c>
      <c r="C349" s="12" t="s">
        <v>257</v>
      </c>
      <c r="D349" s="6" t="s">
        <v>147</v>
      </c>
      <c r="E349" s="6" t="s">
        <v>54</v>
      </c>
      <c r="F349" s="29" t="s">
        <v>866</v>
      </c>
      <c r="G349" s="18" t="str">
        <f>+VLOOKUP(F349,[1]Лист_1!$A:$C,2,0)</f>
        <v>911009578430</v>
      </c>
      <c r="H349" s="21">
        <v>1</v>
      </c>
      <c r="I349" s="26"/>
    </row>
    <row r="350" spans="1:9" s="13" customFormat="1" ht="35.1" customHeight="1">
      <c r="A350" s="29" t="s">
        <v>696</v>
      </c>
      <c r="B350" s="11" t="s">
        <v>257</v>
      </c>
      <c r="C350" s="12" t="s">
        <v>257</v>
      </c>
      <c r="D350" s="6" t="s">
        <v>147</v>
      </c>
      <c r="E350" s="6" t="s">
        <v>55</v>
      </c>
      <c r="F350" s="29" t="s">
        <v>696</v>
      </c>
      <c r="G350" s="18" t="str">
        <f>+VLOOKUP(F350,[1]Лист_1!$A:$C,2,0)</f>
        <v>590416290501</v>
      </c>
      <c r="H350" s="21">
        <v>1</v>
      </c>
      <c r="I350" s="26"/>
    </row>
    <row r="351" spans="1:9" s="13" customFormat="1" ht="35.1" customHeight="1">
      <c r="A351" s="29" t="s">
        <v>655</v>
      </c>
      <c r="B351" s="11" t="s">
        <v>257</v>
      </c>
      <c r="C351" s="12" t="s">
        <v>257</v>
      </c>
      <c r="D351" s="6" t="s">
        <v>147</v>
      </c>
      <c r="E351" s="6" t="s">
        <v>150</v>
      </c>
      <c r="F351" s="29" t="s">
        <v>655</v>
      </c>
      <c r="G351" s="18" t="str">
        <f>+VLOOKUP(F351,[1]Лист_1!$A:$C,2,0)</f>
        <v>682805705406</v>
      </c>
      <c r="H351" s="21">
        <v>1</v>
      </c>
      <c r="I351" s="26"/>
    </row>
    <row r="352" spans="1:9" s="13" customFormat="1" ht="35.1" customHeight="1">
      <c r="A352" s="28" t="s">
        <v>935</v>
      </c>
      <c r="B352" s="11" t="s">
        <v>257</v>
      </c>
      <c r="C352" s="12" t="s">
        <v>257</v>
      </c>
      <c r="D352" s="6" t="s">
        <v>147</v>
      </c>
      <c r="E352" s="6" t="s">
        <v>150</v>
      </c>
      <c r="F352" s="28" t="s">
        <v>66</v>
      </c>
      <c r="G352" s="18"/>
      <c r="H352" s="21">
        <v>1</v>
      </c>
      <c r="I352" s="26"/>
    </row>
    <row r="353" spans="1:9" s="13" customFormat="1" ht="35.1" customHeight="1">
      <c r="A353" s="29" t="s">
        <v>686</v>
      </c>
      <c r="B353" s="11" t="s">
        <v>257</v>
      </c>
      <c r="C353" s="12" t="s">
        <v>257</v>
      </c>
      <c r="D353" s="6" t="s">
        <v>147</v>
      </c>
      <c r="E353" s="6" t="s">
        <v>151</v>
      </c>
      <c r="F353" s="29" t="s">
        <v>686</v>
      </c>
      <c r="G353" s="18" t="str">
        <f>+VLOOKUP(F353,[1]Лист_1!$A:$C,2,0)</f>
        <v>032618810603</v>
      </c>
      <c r="H353" s="21">
        <v>1</v>
      </c>
      <c r="I353" s="26"/>
    </row>
    <row r="354" spans="1:9" s="13" customFormat="1" ht="35.1" customHeight="1">
      <c r="A354" s="29" t="s">
        <v>169</v>
      </c>
      <c r="B354" s="11" t="s">
        <v>257</v>
      </c>
      <c r="C354" s="12" t="s">
        <v>257</v>
      </c>
      <c r="D354" s="6" t="s">
        <v>147</v>
      </c>
      <c r="E354" s="6" t="s">
        <v>152</v>
      </c>
      <c r="F354" s="29" t="s">
        <v>169</v>
      </c>
      <c r="G354" s="18" t="str">
        <f>+VLOOKUP(F354,[1]Лист_1!$A:$C,2,0)</f>
        <v>212414550879</v>
      </c>
      <c r="H354" s="21">
        <v>1</v>
      </c>
      <c r="I354" s="26"/>
    </row>
    <row r="355" spans="1:9" s="13" customFormat="1" ht="35.1" customHeight="1">
      <c r="A355" s="28" t="s">
        <v>25</v>
      </c>
      <c r="B355" s="11" t="s">
        <v>257</v>
      </c>
      <c r="C355" s="12" t="s">
        <v>257</v>
      </c>
      <c r="D355" s="6" t="s">
        <v>147</v>
      </c>
      <c r="E355" s="6" t="s">
        <v>152</v>
      </c>
      <c r="F355" s="28" t="s">
        <v>66</v>
      </c>
      <c r="G355" s="18"/>
      <c r="H355" s="21">
        <v>1</v>
      </c>
      <c r="I355" s="26"/>
    </row>
    <row r="356" spans="1:9" s="13" customFormat="1" ht="35.1" customHeight="1">
      <c r="A356" s="6" t="s">
        <v>242</v>
      </c>
      <c r="B356" s="11" t="s">
        <v>257</v>
      </c>
      <c r="C356" s="12" t="s">
        <v>257</v>
      </c>
      <c r="D356" s="6" t="s">
        <v>803</v>
      </c>
      <c r="E356" s="6" t="s">
        <v>12</v>
      </c>
      <c r="F356" s="6" t="s">
        <v>242</v>
      </c>
      <c r="G356" s="18" t="str">
        <f>+VLOOKUP(F356,[1]Лист_1!$A:$C,2,0)</f>
        <v>772880888089</v>
      </c>
      <c r="H356" s="7">
        <v>1</v>
      </c>
      <c r="I356" s="26"/>
    </row>
    <row r="357" spans="1:9" s="13" customFormat="1" ht="35.1" customHeight="1">
      <c r="A357" s="28" t="s">
        <v>66</v>
      </c>
      <c r="B357" s="11" t="s">
        <v>257</v>
      </c>
      <c r="C357" s="12" t="s">
        <v>257</v>
      </c>
      <c r="D357" s="6" t="s">
        <v>803</v>
      </c>
      <c r="E357" s="6" t="s">
        <v>141</v>
      </c>
      <c r="F357" s="28" t="s">
        <v>66</v>
      </c>
      <c r="G357" s="18"/>
      <c r="H357" s="7">
        <v>1</v>
      </c>
      <c r="I357" s="26"/>
    </row>
    <row r="358" spans="1:9" s="13" customFormat="1" ht="35.1" customHeight="1">
      <c r="A358" s="6" t="s">
        <v>243</v>
      </c>
      <c r="B358" s="11" t="s">
        <v>257</v>
      </c>
      <c r="C358" s="12" t="s">
        <v>257</v>
      </c>
      <c r="D358" s="6" t="s">
        <v>803</v>
      </c>
      <c r="E358" s="6" t="s">
        <v>604</v>
      </c>
      <c r="F358" s="6" t="s">
        <v>243</v>
      </c>
      <c r="G358" s="18" t="str">
        <f>+VLOOKUP(F358,[1]Лист_1!$A:$C,2,0)</f>
        <v>771375201021</v>
      </c>
      <c r="H358" s="7">
        <v>0.75</v>
      </c>
      <c r="I358" s="26"/>
    </row>
    <row r="359" spans="1:9" s="13" customFormat="1" ht="35.1" customHeight="1">
      <c r="A359" s="28" t="s">
        <v>66</v>
      </c>
      <c r="B359" s="11" t="s">
        <v>257</v>
      </c>
      <c r="C359" s="12" t="s">
        <v>257</v>
      </c>
      <c r="D359" s="6" t="s">
        <v>803</v>
      </c>
      <c r="E359" s="6" t="s">
        <v>604</v>
      </c>
      <c r="F359" s="28" t="s">
        <v>66</v>
      </c>
      <c r="G359" s="18"/>
      <c r="H359" s="7">
        <v>0.25</v>
      </c>
      <c r="I359" s="26"/>
    </row>
    <row r="360" spans="1:9" s="13" customFormat="1" ht="35.1" customHeight="1">
      <c r="A360" s="6" t="s">
        <v>244</v>
      </c>
      <c r="B360" s="11" t="s">
        <v>257</v>
      </c>
      <c r="C360" s="12" t="s">
        <v>257</v>
      </c>
      <c r="D360" s="6" t="s">
        <v>803</v>
      </c>
      <c r="E360" s="6" t="s">
        <v>614</v>
      </c>
      <c r="F360" s="6" t="s">
        <v>244</v>
      </c>
      <c r="G360" s="18" t="str">
        <f>+VLOOKUP(F360,[1]Лист_1!$A:$C,2,0)</f>
        <v>772084921010</v>
      </c>
      <c r="H360" s="7">
        <v>1</v>
      </c>
      <c r="I360" s="26"/>
    </row>
    <row r="361" spans="1:9" s="13" customFormat="1" ht="35.1" customHeight="1">
      <c r="A361" s="6" t="s">
        <v>245</v>
      </c>
      <c r="B361" s="11" t="s">
        <v>257</v>
      </c>
      <c r="C361" s="12" t="s">
        <v>257</v>
      </c>
      <c r="D361" s="6" t="s">
        <v>803</v>
      </c>
      <c r="E361" s="6" t="s">
        <v>614</v>
      </c>
      <c r="F361" s="6" t="s">
        <v>245</v>
      </c>
      <c r="G361" s="18" t="str">
        <f>+VLOOKUP(F361,[1]Лист_1!$A:$C,2,0)</f>
        <v>503236671601</v>
      </c>
      <c r="H361" s="7">
        <v>1</v>
      </c>
      <c r="I361" s="26"/>
    </row>
    <row r="362" spans="1:9" s="13" customFormat="1" ht="35.1" customHeight="1">
      <c r="A362" s="6" t="s">
        <v>239</v>
      </c>
      <c r="B362" s="11" t="s">
        <v>257</v>
      </c>
      <c r="C362" s="12" t="s">
        <v>257</v>
      </c>
      <c r="D362" s="6" t="s">
        <v>803</v>
      </c>
      <c r="E362" s="6" t="s">
        <v>614</v>
      </c>
      <c r="F362" s="6" t="s">
        <v>239</v>
      </c>
      <c r="G362" s="18" t="str">
        <f>+VLOOKUP(F362,[1]Лист_1!$A:$C,2,0)</f>
        <v>781147756817</v>
      </c>
      <c r="H362" s="7">
        <v>1</v>
      </c>
      <c r="I362" s="26"/>
    </row>
    <row r="363" spans="1:9" s="13" customFormat="1" ht="35.1" customHeight="1">
      <c r="A363" s="6" t="s">
        <v>247</v>
      </c>
      <c r="B363" s="11" t="s">
        <v>257</v>
      </c>
      <c r="C363" s="12" t="s">
        <v>257</v>
      </c>
      <c r="D363" s="6" t="s">
        <v>803</v>
      </c>
      <c r="E363" s="6" t="s">
        <v>614</v>
      </c>
      <c r="F363" s="6" t="s">
        <v>247</v>
      </c>
      <c r="G363" s="18" t="str">
        <f>+VLOOKUP(F363,[1]Лист_1!$A:$C,2,0)</f>
        <v>773321715296</v>
      </c>
      <c r="H363" s="7">
        <v>1</v>
      </c>
      <c r="I363" s="26"/>
    </row>
    <row r="364" spans="1:9" s="13" customFormat="1" ht="35.1" customHeight="1">
      <c r="A364" s="29" t="s">
        <v>849</v>
      </c>
      <c r="B364" s="11" t="s">
        <v>257</v>
      </c>
      <c r="C364" s="12" t="s">
        <v>257</v>
      </c>
      <c r="D364" s="6" t="s">
        <v>803</v>
      </c>
      <c r="E364" s="6" t="s">
        <v>618</v>
      </c>
      <c r="F364" s="29" t="s">
        <v>849</v>
      </c>
      <c r="G364" s="18" t="str">
        <f>+VLOOKUP(F364,[1]Лист_1!$A:$C,2,0)</f>
        <v>772772403844</v>
      </c>
      <c r="H364" s="7">
        <v>1</v>
      </c>
      <c r="I364" s="26"/>
    </row>
    <row r="365" spans="1:9" s="13" customFormat="1" ht="35.1" customHeight="1">
      <c r="A365" s="29" t="s">
        <v>695</v>
      </c>
      <c r="B365" s="11" t="s">
        <v>257</v>
      </c>
      <c r="C365" s="12" t="s">
        <v>257</v>
      </c>
      <c r="D365" s="6" t="s">
        <v>803</v>
      </c>
      <c r="E365" s="6" t="s">
        <v>54</v>
      </c>
      <c r="F365" s="29" t="s">
        <v>695</v>
      </c>
      <c r="G365" s="18" t="str">
        <f>+VLOOKUP(F365,[1]Лист_1!$A:$C,2,0)</f>
        <v>771921473221</v>
      </c>
      <c r="H365" s="7">
        <v>1</v>
      </c>
      <c r="I365" s="26"/>
    </row>
    <row r="366" spans="1:9" s="13" customFormat="1" ht="35.1" customHeight="1">
      <c r="A366" s="6" t="s">
        <v>240</v>
      </c>
      <c r="B366" s="11" t="s">
        <v>257</v>
      </c>
      <c r="C366" s="12" t="s">
        <v>257</v>
      </c>
      <c r="D366" s="6" t="s">
        <v>803</v>
      </c>
      <c r="E366" s="6" t="s">
        <v>150</v>
      </c>
      <c r="F366" s="6" t="s">
        <v>240</v>
      </c>
      <c r="G366" s="18" t="str">
        <f>+VLOOKUP(F366,[1]Лист_1!$A:$C,2,0)</f>
        <v>772831664103</v>
      </c>
      <c r="H366" s="7">
        <v>0.5</v>
      </c>
      <c r="I366" s="26"/>
    </row>
    <row r="367" spans="1:9" s="13" customFormat="1" ht="35.1" customHeight="1">
      <c r="A367" s="29" t="s">
        <v>789</v>
      </c>
      <c r="B367" s="11" t="s">
        <v>257</v>
      </c>
      <c r="C367" s="12" t="s">
        <v>257</v>
      </c>
      <c r="D367" s="6" t="s">
        <v>803</v>
      </c>
      <c r="E367" s="6" t="s">
        <v>150</v>
      </c>
      <c r="F367" s="29" t="s">
        <v>789</v>
      </c>
      <c r="G367" s="18" t="str">
        <f>+VLOOKUP(F367,[1]Лист_1!$A:$C,2,0)</f>
        <v>575309432130</v>
      </c>
      <c r="H367" s="7">
        <v>0.5</v>
      </c>
      <c r="I367" s="26"/>
    </row>
    <row r="368" spans="1:9" s="13" customFormat="1" ht="35.1" customHeight="1">
      <c r="A368" s="6" t="s">
        <v>814</v>
      </c>
      <c r="B368" s="11" t="s">
        <v>257</v>
      </c>
      <c r="C368" s="12" t="s">
        <v>257</v>
      </c>
      <c r="D368" s="6" t="s">
        <v>803</v>
      </c>
      <c r="E368" s="6" t="s">
        <v>55</v>
      </c>
      <c r="F368" s="6" t="s">
        <v>814</v>
      </c>
      <c r="G368" s="18" t="str">
        <f>+VLOOKUP(F368,[1]Лист_1!$A:$C,2,0)</f>
        <v>774346382989</v>
      </c>
      <c r="H368" s="7">
        <v>1</v>
      </c>
      <c r="I368" s="26"/>
    </row>
    <row r="369" spans="1:9" s="13" customFormat="1" ht="35.1" customHeight="1">
      <c r="A369" s="29" t="s">
        <v>743</v>
      </c>
      <c r="B369" s="11" t="s">
        <v>257</v>
      </c>
      <c r="C369" s="12" t="s">
        <v>257</v>
      </c>
      <c r="D369" s="6" t="s">
        <v>803</v>
      </c>
      <c r="E369" s="6" t="s">
        <v>152</v>
      </c>
      <c r="F369" s="29" t="s">
        <v>743</v>
      </c>
      <c r="G369" s="18" t="str">
        <f>+VLOOKUP(F369,[1]Лист_1!$A:$C,2,0)</f>
        <v>182811567951</v>
      </c>
      <c r="H369" s="7">
        <v>1</v>
      </c>
      <c r="I369" s="26"/>
    </row>
    <row r="370" spans="1:9" s="13" customFormat="1" ht="35.1" customHeight="1">
      <c r="A370" s="6" t="s">
        <v>254</v>
      </c>
      <c r="B370" s="11" t="s">
        <v>257</v>
      </c>
      <c r="C370" s="12" t="s">
        <v>968</v>
      </c>
      <c r="D370" s="6" t="s">
        <v>153</v>
      </c>
      <c r="E370" s="6" t="s">
        <v>14</v>
      </c>
      <c r="F370" s="6" t="s">
        <v>254</v>
      </c>
      <c r="G370" s="18" t="str">
        <f>+VLOOKUP(F370,[1]Лист_1!$A:$C,2,0)</f>
        <v>500112161095</v>
      </c>
      <c r="H370" s="7">
        <v>0.42499999999999999</v>
      </c>
      <c r="I370" s="26"/>
    </row>
    <row r="371" spans="1:9" s="13" customFormat="1" ht="35.1" customHeight="1">
      <c r="A371" s="6" t="s">
        <v>250</v>
      </c>
      <c r="B371" s="11" t="s">
        <v>257</v>
      </c>
      <c r="C371" s="12" t="s">
        <v>968</v>
      </c>
      <c r="D371" s="6" t="s">
        <v>153</v>
      </c>
      <c r="E371" s="6" t="s">
        <v>14</v>
      </c>
      <c r="F371" s="6" t="s">
        <v>250</v>
      </c>
      <c r="G371" s="18" t="str">
        <f>+VLOOKUP(F371,[1]Лист_1!$A:$C,2,0)</f>
        <v>502909453171</v>
      </c>
      <c r="H371" s="7">
        <v>0.57499999999999996</v>
      </c>
      <c r="I371" s="26"/>
    </row>
    <row r="372" spans="1:9" s="13" customFormat="1" ht="35.1" customHeight="1">
      <c r="A372" s="6" t="s">
        <v>249</v>
      </c>
      <c r="B372" s="11" t="s">
        <v>257</v>
      </c>
      <c r="C372" s="12" t="s">
        <v>968</v>
      </c>
      <c r="D372" s="6" t="s">
        <v>153</v>
      </c>
      <c r="E372" s="6" t="s">
        <v>15</v>
      </c>
      <c r="F372" s="6" t="s">
        <v>249</v>
      </c>
      <c r="G372" s="18" t="str">
        <f>+VLOOKUP(F372,[1]Лист_1!$A:$C,2,0)</f>
        <v>231907143127</v>
      </c>
      <c r="H372" s="7">
        <v>0.75</v>
      </c>
      <c r="I372" s="26"/>
    </row>
    <row r="373" spans="1:9" s="13" customFormat="1" ht="35.1" customHeight="1">
      <c r="A373" s="6" t="s">
        <v>255</v>
      </c>
      <c r="B373" s="11" t="s">
        <v>257</v>
      </c>
      <c r="C373" s="12" t="s">
        <v>968</v>
      </c>
      <c r="D373" s="6" t="s">
        <v>153</v>
      </c>
      <c r="E373" s="6" t="s">
        <v>15</v>
      </c>
      <c r="F373" s="6" t="s">
        <v>255</v>
      </c>
      <c r="G373" s="18" t="str">
        <f>+VLOOKUP(F373,[1]Лист_1!$A:$C,2,0)</f>
        <v>502986679906</v>
      </c>
      <c r="H373" s="7">
        <v>0.25</v>
      </c>
      <c r="I373" s="26"/>
    </row>
    <row r="374" spans="1:9" s="13" customFormat="1" ht="35.1" customHeight="1">
      <c r="A374" s="6" t="s">
        <v>251</v>
      </c>
      <c r="B374" s="11" t="s">
        <v>257</v>
      </c>
      <c r="C374" s="12" t="s">
        <v>968</v>
      </c>
      <c r="D374" s="6" t="s">
        <v>153</v>
      </c>
      <c r="E374" s="6" t="s">
        <v>54</v>
      </c>
      <c r="F374" s="6" t="s">
        <v>251</v>
      </c>
      <c r="G374" s="18" t="str">
        <f>+VLOOKUP(F374,[1]Лист_1!$A:$C,2,0)</f>
        <v>772794888494</v>
      </c>
      <c r="H374" s="7">
        <v>1</v>
      </c>
      <c r="I374" s="26"/>
    </row>
    <row r="375" spans="1:9" s="13" customFormat="1" ht="35.1" customHeight="1">
      <c r="A375" s="6" t="s">
        <v>253</v>
      </c>
      <c r="B375" s="11" t="s">
        <v>257</v>
      </c>
      <c r="C375" s="12" t="s">
        <v>968</v>
      </c>
      <c r="D375" s="6" t="s">
        <v>153</v>
      </c>
      <c r="E375" s="6" t="s">
        <v>54</v>
      </c>
      <c r="F375" s="6" t="s">
        <v>253</v>
      </c>
      <c r="G375" s="18" t="str">
        <f>+VLOOKUP(F375,[1]Лист_1!$A:$C,2,0)</f>
        <v>772300427182</v>
      </c>
      <c r="H375" s="7">
        <v>1</v>
      </c>
      <c r="I375" s="26"/>
    </row>
    <row r="376" spans="1:9" s="13" customFormat="1" ht="35.1" customHeight="1">
      <c r="A376" s="6" t="s">
        <v>252</v>
      </c>
      <c r="B376" s="11" t="s">
        <v>257</v>
      </c>
      <c r="C376" s="12" t="s">
        <v>968</v>
      </c>
      <c r="D376" s="6" t="s">
        <v>153</v>
      </c>
      <c r="E376" s="6" t="s">
        <v>54</v>
      </c>
      <c r="F376" s="6" t="s">
        <v>252</v>
      </c>
      <c r="G376" s="18" t="str">
        <f>+VLOOKUP(F376,[1]Лист_1!$A:$C,2,0)</f>
        <v>504030762906</v>
      </c>
      <c r="H376" s="7">
        <v>1</v>
      </c>
      <c r="I376" s="26"/>
    </row>
    <row r="377" spans="1:9" s="13" customFormat="1" ht="35.1" customHeight="1">
      <c r="A377" s="6" t="s">
        <v>800</v>
      </c>
      <c r="B377" s="11" t="s">
        <v>257</v>
      </c>
      <c r="C377" s="12" t="s">
        <v>968</v>
      </c>
      <c r="D377" s="6" t="s">
        <v>153</v>
      </c>
      <c r="E377" s="6" t="s">
        <v>55</v>
      </c>
      <c r="F377" s="6" t="s">
        <v>800</v>
      </c>
      <c r="G377" s="18" t="str">
        <f>+VLOOKUP(F377,[1]Лист_1!$A:$C,2,0)</f>
        <v>772637486820</v>
      </c>
      <c r="H377" s="7">
        <v>0.5</v>
      </c>
      <c r="I377" s="26"/>
    </row>
    <row r="378" spans="1:9" s="13" customFormat="1" ht="35.1" customHeight="1">
      <c r="A378" s="6" t="s">
        <v>801</v>
      </c>
      <c r="B378" s="11" t="s">
        <v>257</v>
      </c>
      <c r="C378" s="12" t="s">
        <v>968</v>
      </c>
      <c r="D378" s="6" t="s">
        <v>153</v>
      </c>
      <c r="E378" s="6" t="s">
        <v>55</v>
      </c>
      <c r="F378" s="6" t="s">
        <v>801</v>
      </c>
      <c r="G378" s="18" t="str">
        <f>+VLOOKUP(F378,[1]Лист_1!$A:$C,2,0)</f>
        <v>773116037538</v>
      </c>
      <c r="H378" s="7">
        <v>0.5</v>
      </c>
      <c r="I378" s="26"/>
    </row>
    <row r="379" spans="1:9" s="13" customFormat="1" ht="35.1" customHeight="1">
      <c r="A379" s="6" t="s">
        <v>256</v>
      </c>
      <c r="B379" s="11" t="s">
        <v>257</v>
      </c>
      <c r="C379" s="12" t="s">
        <v>968</v>
      </c>
      <c r="D379" s="6" t="s">
        <v>153</v>
      </c>
      <c r="E379" s="6" t="s">
        <v>55</v>
      </c>
      <c r="F379" s="6" t="s">
        <v>256</v>
      </c>
      <c r="G379" s="18" t="str">
        <f>+VLOOKUP(F379,[1]Лист_1!$A:$C,2,0)</f>
        <v>773378874685</v>
      </c>
      <c r="H379" s="7">
        <v>0.5</v>
      </c>
      <c r="I379" s="26"/>
    </row>
    <row r="380" spans="1:9" s="13" customFormat="1" ht="35.1" customHeight="1">
      <c r="A380" s="6" t="s">
        <v>248</v>
      </c>
      <c r="B380" s="11" t="s">
        <v>257</v>
      </c>
      <c r="C380" s="12" t="s">
        <v>968</v>
      </c>
      <c r="D380" s="6" t="s">
        <v>153</v>
      </c>
      <c r="E380" s="6" t="s">
        <v>55</v>
      </c>
      <c r="F380" s="6" t="s">
        <v>248</v>
      </c>
      <c r="G380" s="18" t="str">
        <f>+VLOOKUP(F380,[1]Лист_1!$A:$C,2,0)</f>
        <v>772918323500</v>
      </c>
      <c r="H380" s="7">
        <v>0.5</v>
      </c>
      <c r="I380" s="26"/>
    </row>
    <row r="381" spans="1:9" s="13" customFormat="1" ht="35.1" customHeight="1">
      <c r="B381" s="44"/>
      <c r="C381" s="44"/>
      <c r="D381" s="44"/>
      <c r="E381" s="44"/>
      <c r="F381" s="51"/>
      <c r="G381" s="44"/>
      <c r="H381" s="14">
        <f>SUM(H180:H380)</f>
        <v>171</v>
      </c>
      <c r="I381" s="37"/>
    </row>
    <row r="382" spans="1:9" s="13" customFormat="1" ht="35.1" customHeight="1">
      <c r="A382" s="18" t="s">
        <v>311</v>
      </c>
      <c r="B382" s="11" t="s">
        <v>410</v>
      </c>
      <c r="C382" s="12" t="s">
        <v>410</v>
      </c>
      <c r="D382" s="6" t="s">
        <v>291</v>
      </c>
      <c r="E382" s="18" t="s">
        <v>12</v>
      </c>
      <c r="F382" s="6" t="s">
        <v>311</v>
      </c>
      <c r="G382" s="18" t="str">
        <f>+VLOOKUP(F382,[1]Лист_1!$A:$C,2,0)</f>
        <v>370205985288</v>
      </c>
      <c r="H382" s="21">
        <v>1</v>
      </c>
      <c r="I382" s="26"/>
    </row>
    <row r="383" spans="1:9" s="13" customFormat="1" ht="35.1" customHeight="1">
      <c r="A383" s="18" t="s">
        <v>312</v>
      </c>
      <c r="B383" s="11" t="s">
        <v>410</v>
      </c>
      <c r="C383" s="12" t="s">
        <v>410</v>
      </c>
      <c r="D383" s="6" t="s">
        <v>291</v>
      </c>
      <c r="E383" s="18" t="s">
        <v>149</v>
      </c>
      <c r="F383" s="6" t="s">
        <v>312</v>
      </c>
      <c r="G383" s="18" t="str">
        <f>+VLOOKUP(F383,[1]Лист_1!$A:$C,2,0)</f>
        <v>290703171203</v>
      </c>
      <c r="H383" s="21">
        <v>1</v>
      </c>
      <c r="I383" s="26"/>
    </row>
    <row r="384" spans="1:9" s="13" customFormat="1" ht="35.1" customHeight="1">
      <c r="A384" s="18" t="s">
        <v>313</v>
      </c>
      <c r="B384" s="11" t="s">
        <v>410</v>
      </c>
      <c r="C384" s="12" t="s">
        <v>410</v>
      </c>
      <c r="D384" s="6" t="s">
        <v>292</v>
      </c>
      <c r="E384" s="18" t="s">
        <v>14</v>
      </c>
      <c r="F384" s="6" t="s">
        <v>313</v>
      </c>
      <c r="G384" s="18" t="str">
        <f>+VLOOKUP(F384,[1]Лист_1!$A:$C,2,0)</f>
        <v>523401002487</v>
      </c>
      <c r="H384" s="21">
        <v>1</v>
      </c>
      <c r="I384" s="26"/>
    </row>
    <row r="385" spans="1:9" s="13" customFormat="1" ht="35.1" customHeight="1">
      <c r="A385" s="18" t="s">
        <v>314</v>
      </c>
      <c r="B385" s="11" t="s">
        <v>410</v>
      </c>
      <c r="C385" s="12" t="s">
        <v>410</v>
      </c>
      <c r="D385" s="6" t="s">
        <v>292</v>
      </c>
      <c r="E385" s="18" t="s">
        <v>293</v>
      </c>
      <c r="F385" s="6" t="s">
        <v>314</v>
      </c>
      <c r="G385" s="18" t="str">
        <f>+VLOOKUP(F385,[1]Лист_1!$A:$C,2,0)</f>
        <v>502210554588</v>
      </c>
      <c r="H385" s="21">
        <v>1</v>
      </c>
      <c r="I385" s="26"/>
    </row>
    <row r="386" spans="1:9" s="13" customFormat="1" ht="35.1" customHeight="1">
      <c r="A386" s="19" t="s">
        <v>25</v>
      </c>
      <c r="B386" s="11" t="s">
        <v>410</v>
      </c>
      <c r="C386" s="12" t="s">
        <v>410</v>
      </c>
      <c r="D386" s="6" t="s">
        <v>292</v>
      </c>
      <c r="E386" s="18" t="s">
        <v>293</v>
      </c>
      <c r="F386" s="28" t="s">
        <v>66</v>
      </c>
      <c r="G386" s="18"/>
      <c r="H386" s="21">
        <v>1</v>
      </c>
      <c r="I386" s="26"/>
    </row>
    <row r="387" spans="1:9" s="13" customFormat="1" ht="35.1" customHeight="1">
      <c r="A387" s="18" t="s">
        <v>318</v>
      </c>
      <c r="B387" s="11" t="s">
        <v>410</v>
      </c>
      <c r="C387" s="12" t="s">
        <v>410</v>
      </c>
      <c r="D387" s="6" t="s">
        <v>292</v>
      </c>
      <c r="E387" s="18" t="s">
        <v>293</v>
      </c>
      <c r="F387" s="6" t="s">
        <v>318</v>
      </c>
      <c r="G387" s="18" t="str">
        <f>+VLOOKUP(F387,[1]Лист_1!$A:$C,2,0)</f>
        <v>231519918021</v>
      </c>
      <c r="H387" s="21">
        <v>1</v>
      </c>
      <c r="I387" s="26"/>
    </row>
    <row r="388" spans="1:9" s="13" customFormat="1" ht="35.1" customHeight="1">
      <c r="A388" s="18" t="s">
        <v>316</v>
      </c>
      <c r="B388" s="11" t="s">
        <v>410</v>
      </c>
      <c r="C388" s="12" t="s">
        <v>410</v>
      </c>
      <c r="D388" s="6" t="s">
        <v>292</v>
      </c>
      <c r="E388" s="18" t="s">
        <v>293</v>
      </c>
      <c r="F388" s="6" t="s">
        <v>316</v>
      </c>
      <c r="G388" s="18" t="str">
        <f>+VLOOKUP(F388,[1]Лист_1!$A:$C,2,0)</f>
        <v>773311317708</v>
      </c>
      <c r="H388" s="21">
        <v>1</v>
      </c>
      <c r="I388" s="26"/>
    </row>
    <row r="389" spans="1:9" s="13" customFormat="1" ht="35.1" customHeight="1">
      <c r="A389" s="18" t="s">
        <v>315</v>
      </c>
      <c r="B389" s="11" t="s">
        <v>410</v>
      </c>
      <c r="C389" s="12" t="s">
        <v>410</v>
      </c>
      <c r="D389" s="6" t="s">
        <v>292</v>
      </c>
      <c r="E389" s="18" t="s">
        <v>293</v>
      </c>
      <c r="F389" s="6" t="s">
        <v>315</v>
      </c>
      <c r="G389" s="18" t="str">
        <f>+VLOOKUP(F389,[1]Лист_1!$A:$C,2,0)</f>
        <v>633067142391</v>
      </c>
      <c r="H389" s="21">
        <v>1</v>
      </c>
      <c r="I389" s="26"/>
    </row>
    <row r="390" spans="1:9" s="13" customFormat="1" ht="35.1" customHeight="1">
      <c r="A390" s="31" t="s">
        <v>874</v>
      </c>
      <c r="B390" s="11" t="s">
        <v>410</v>
      </c>
      <c r="C390" s="12" t="s">
        <v>410</v>
      </c>
      <c r="D390" s="6" t="s">
        <v>292</v>
      </c>
      <c r="E390" s="18" t="s">
        <v>293</v>
      </c>
      <c r="F390" s="29" t="s">
        <v>874</v>
      </c>
      <c r="G390" s="18" t="str">
        <f>+VLOOKUP(F390,[1]Лист_1!$A:$C,2,0)</f>
        <v>420593104812</v>
      </c>
      <c r="H390" s="21">
        <v>1</v>
      </c>
      <c r="I390" s="26"/>
    </row>
    <row r="391" spans="1:9" s="13" customFormat="1" ht="35.1" customHeight="1">
      <c r="A391" s="31" t="s">
        <v>916</v>
      </c>
      <c r="B391" s="11" t="s">
        <v>410</v>
      </c>
      <c r="C391" s="12" t="s">
        <v>410</v>
      </c>
      <c r="D391" s="6" t="s">
        <v>292</v>
      </c>
      <c r="E391" s="18" t="s">
        <v>293</v>
      </c>
      <c r="F391" s="29" t="s">
        <v>916</v>
      </c>
      <c r="G391" s="18" t="str">
        <f>+VLOOKUP(F391,[1]Лист_1!$A:$C,2,0)</f>
        <v>503010180104</v>
      </c>
      <c r="H391" s="21">
        <v>1</v>
      </c>
      <c r="I391" s="26"/>
    </row>
    <row r="392" spans="1:9" s="13" customFormat="1" ht="35.1" customHeight="1">
      <c r="A392" s="31" t="s">
        <v>795</v>
      </c>
      <c r="B392" s="11" t="s">
        <v>410</v>
      </c>
      <c r="C392" s="12" t="s">
        <v>410</v>
      </c>
      <c r="D392" s="6" t="s">
        <v>292</v>
      </c>
      <c r="E392" s="18" t="s">
        <v>293</v>
      </c>
      <c r="F392" s="29" t="s">
        <v>795</v>
      </c>
      <c r="G392" s="18" t="str">
        <f>+VLOOKUP(F392,[1]Лист_1!$A:$C,2,0)</f>
        <v>550709495302</v>
      </c>
      <c r="H392" s="21">
        <v>1</v>
      </c>
      <c r="I392" s="26"/>
    </row>
    <row r="393" spans="1:9" s="13" customFormat="1" ht="35.1" customHeight="1">
      <c r="A393" s="18" t="s">
        <v>317</v>
      </c>
      <c r="B393" s="11" t="s">
        <v>410</v>
      </c>
      <c r="C393" s="12" t="s">
        <v>410</v>
      </c>
      <c r="D393" s="6" t="s">
        <v>292</v>
      </c>
      <c r="E393" s="18" t="s">
        <v>294</v>
      </c>
      <c r="F393" s="6" t="s">
        <v>317</v>
      </c>
      <c r="G393" s="18" t="str">
        <f>+VLOOKUP(F393,[1]Лист_1!$A:$C,2,0)</f>
        <v>773771165035</v>
      </c>
      <c r="H393" s="21">
        <v>1</v>
      </c>
      <c r="I393" s="26"/>
    </row>
    <row r="394" spans="1:9" s="13" customFormat="1" ht="35.1" customHeight="1">
      <c r="A394" s="18" t="s">
        <v>319</v>
      </c>
      <c r="B394" s="11" t="s">
        <v>410</v>
      </c>
      <c r="C394" s="12" t="s">
        <v>410</v>
      </c>
      <c r="D394" s="6" t="s">
        <v>292</v>
      </c>
      <c r="E394" s="18" t="s">
        <v>295</v>
      </c>
      <c r="F394" s="6" t="s">
        <v>319</v>
      </c>
      <c r="G394" s="18" t="str">
        <f>+VLOOKUP(F394,[1]Лист_1!$A:$C,2,0)</f>
        <v>502910215196</v>
      </c>
      <c r="H394" s="21">
        <v>1</v>
      </c>
      <c r="I394" s="26"/>
    </row>
    <row r="395" spans="1:9" s="13" customFormat="1" ht="35.1" customHeight="1">
      <c r="A395" s="18" t="s">
        <v>320</v>
      </c>
      <c r="B395" s="11" t="s">
        <v>410</v>
      </c>
      <c r="C395" s="12" t="s">
        <v>410</v>
      </c>
      <c r="D395" s="6" t="s">
        <v>296</v>
      </c>
      <c r="E395" s="18" t="s">
        <v>12</v>
      </c>
      <c r="F395" s="6" t="s">
        <v>320</v>
      </c>
      <c r="G395" s="18" t="str">
        <f>+VLOOKUP(F395,[1]Лист_1!$A:$C,2,0)</f>
        <v>771576919493</v>
      </c>
      <c r="H395" s="21">
        <v>1</v>
      </c>
      <c r="I395" s="26"/>
    </row>
    <row r="396" spans="1:9" s="13" customFormat="1" ht="35.1" customHeight="1">
      <c r="A396" s="18" t="s">
        <v>322</v>
      </c>
      <c r="B396" s="11" t="s">
        <v>410</v>
      </c>
      <c r="C396" s="12" t="s">
        <v>410</v>
      </c>
      <c r="D396" s="6" t="s">
        <v>296</v>
      </c>
      <c r="E396" s="18" t="s">
        <v>149</v>
      </c>
      <c r="F396" s="6" t="s">
        <v>322</v>
      </c>
      <c r="G396" s="18" t="str">
        <f>+VLOOKUP(F396,[1]Лист_1!$A:$C,2,0)</f>
        <v>503224319593</v>
      </c>
      <c r="H396" s="21">
        <v>1</v>
      </c>
      <c r="I396" s="26"/>
    </row>
    <row r="397" spans="1:9" s="13" customFormat="1" ht="35.1" customHeight="1">
      <c r="A397" s="6" t="s">
        <v>324</v>
      </c>
      <c r="B397" s="11" t="s">
        <v>410</v>
      </c>
      <c r="C397" s="12" t="s">
        <v>410</v>
      </c>
      <c r="D397" s="6" t="s">
        <v>297</v>
      </c>
      <c r="E397" s="6" t="s">
        <v>14</v>
      </c>
      <c r="F397" s="6" t="s">
        <v>324</v>
      </c>
      <c r="G397" s="18" t="str">
        <f>+VLOOKUP(F397,[1]Лист_1!$A:$C,2,0)</f>
        <v>026304176151</v>
      </c>
      <c r="H397" s="7">
        <v>1</v>
      </c>
      <c r="I397" s="26"/>
    </row>
    <row r="398" spans="1:9" s="13" customFormat="1" ht="35.1" customHeight="1">
      <c r="A398" s="6" t="s">
        <v>327</v>
      </c>
      <c r="B398" s="11" t="s">
        <v>410</v>
      </c>
      <c r="C398" s="12" t="s">
        <v>410</v>
      </c>
      <c r="D398" s="6" t="s">
        <v>297</v>
      </c>
      <c r="E398" s="6" t="s">
        <v>15</v>
      </c>
      <c r="F398" s="6" t="s">
        <v>327</v>
      </c>
      <c r="G398" s="18" t="str">
        <f>+VLOOKUP(F398,[1]Лист_1!$A:$C,2,0)</f>
        <v>330105606621</v>
      </c>
      <c r="H398" s="7">
        <v>1</v>
      </c>
      <c r="I398" s="26"/>
    </row>
    <row r="399" spans="1:9" s="13" customFormat="1" ht="35.1" customHeight="1">
      <c r="A399" s="6" t="s">
        <v>325</v>
      </c>
      <c r="B399" s="11" t="s">
        <v>410</v>
      </c>
      <c r="C399" s="12" t="s">
        <v>410</v>
      </c>
      <c r="D399" s="6" t="s">
        <v>297</v>
      </c>
      <c r="E399" s="6" t="s">
        <v>614</v>
      </c>
      <c r="F399" s="6" t="s">
        <v>325</v>
      </c>
      <c r="G399" s="18" t="str">
        <f>+VLOOKUP(F399,[1]Лист_1!$A:$C,2,0)</f>
        <v>771576263540</v>
      </c>
      <c r="H399" s="7">
        <v>0.9</v>
      </c>
      <c r="I399" s="26"/>
    </row>
    <row r="400" spans="1:9" s="13" customFormat="1" ht="35.1" customHeight="1">
      <c r="A400" s="28" t="s">
        <v>25</v>
      </c>
      <c r="B400" s="11" t="s">
        <v>410</v>
      </c>
      <c r="C400" s="12" t="s">
        <v>410</v>
      </c>
      <c r="D400" s="6" t="s">
        <v>297</v>
      </c>
      <c r="E400" s="6" t="s">
        <v>614</v>
      </c>
      <c r="F400" s="28" t="s">
        <v>66</v>
      </c>
      <c r="G400" s="18"/>
      <c r="H400" s="7">
        <v>0.1</v>
      </c>
      <c r="I400" s="26"/>
    </row>
    <row r="401" spans="1:9" s="13" customFormat="1" ht="35.1" customHeight="1">
      <c r="A401" s="6" t="s">
        <v>326</v>
      </c>
      <c r="B401" s="11" t="s">
        <v>410</v>
      </c>
      <c r="C401" s="12" t="s">
        <v>410</v>
      </c>
      <c r="D401" s="6" t="s">
        <v>297</v>
      </c>
      <c r="E401" s="6" t="s">
        <v>616</v>
      </c>
      <c r="F401" s="6" t="s">
        <v>326</v>
      </c>
      <c r="G401" s="18" t="str">
        <f>+VLOOKUP(F401,[1]Лист_1!$A:$C,2,0)</f>
        <v>071511782925</v>
      </c>
      <c r="H401" s="7">
        <v>1</v>
      </c>
      <c r="I401" s="26"/>
    </row>
    <row r="402" spans="1:9" s="13" customFormat="1" ht="35.1" customHeight="1">
      <c r="A402" s="28" t="s">
        <v>25</v>
      </c>
      <c r="B402" s="11" t="s">
        <v>410</v>
      </c>
      <c r="C402" s="12" t="s">
        <v>410</v>
      </c>
      <c r="D402" s="6" t="s">
        <v>297</v>
      </c>
      <c r="E402" s="6" t="s">
        <v>616</v>
      </c>
      <c r="F402" s="28" t="s">
        <v>66</v>
      </c>
      <c r="G402" s="18"/>
      <c r="H402" s="7">
        <v>1</v>
      </c>
      <c r="I402" s="26"/>
    </row>
    <row r="403" spans="1:9" s="13" customFormat="1" ht="48.75" customHeight="1">
      <c r="A403" s="6" t="s">
        <v>338</v>
      </c>
      <c r="B403" s="11" t="s">
        <v>410</v>
      </c>
      <c r="C403" s="12" t="s">
        <v>410</v>
      </c>
      <c r="D403" s="6" t="s">
        <v>298</v>
      </c>
      <c r="E403" s="6" t="s">
        <v>14</v>
      </c>
      <c r="F403" s="6" t="s">
        <v>338</v>
      </c>
      <c r="G403" s="18" t="str">
        <f>+VLOOKUP(F403,[1]Лист_1!$A:$C,2,0)</f>
        <v>771530076353</v>
      </c>
      <c r="H403" s="21">
        <v>1</v>
      </c>
      <c r="I403" s="26"/>
    </row>
    <row r="404" spans="1:9" s="13" customFormat="1" ht="35.1" customHeight="1">
      <c r="A404" s="6" t="s">
        <v>340</v>
      </c>
      <c r="B404" s="11" t="s">
        <v>410</v>
      </c>
      <c r="C404" s="12" t="s">
        <v>410</v>
      </c>
      <c r="D404" s="6" t="s">
        <v>298</v>
      </c>
      <c r="E404" s="6" t="s">
        <v>15</v>
      </c>
      <c r="F404" s="6" t="s">
        <v>340</v>
      </c>
      <c r="G404" s="18" t="str">
        <f>+VLOOKUP(F404,[1]Лист_1!$A:$C,2,0)</f>
        <v>770702379880</v>
      </c>
      <c r="H404" s="21">
        <v>1</v>
      </c>
      <c r="I404" s="26"/>
    </row>
    <row r="405" spans="1:9" s="13" customFormat="1" ht="51.6" customHeight="1">
      <c r="A405" s="6" t="s">
        <v>336</v>
      </c>
      <c r="B405" s="11" t="s">
        <v>410</v>
      </c>
      <c r="C405" s="12" t="s">
        <v>410</v>
      </c>
      <c r="D405" s="6" t="s">
        <v>298</v>
      </c>
      <c r="E405" s="6" t="s">
        <v>718</v>
      </c>
      <c r="F405" s="6" t="s">
        <v>336</v>
      </c>
      <c r="G405" s="18" t="str">
        <f>+VLOOKUP(F405,[1]Лист_1!$A:$C,2,0)</f>
        <v>503417583259</v>
      </c>
      <c r="H405" s="21">
        <v>1</v>
      </c>
      <c r="I405" s="26"/>
    </row>
    <row r="406" spans="1:9" s="13" customFormat="1" ht="51.6" customHeight="1">
      <c r="A406" s="29" t="s">
        <v>760</v>
      </c>
      <c r="B406" s="11" t="s">
        <v>410</v>
      </c>
      <c r="C406" s="12" t="s">
        <v>410</v>
      </c>
      <c r="D406" s="6" t="s">
        <v>298</v>
      </c>
      <c r="E406" s="6" t="s">
        <v>718</v>
      </c>
      <c r="F406" s="29" t="s">
        <v>760</v>
      </c>
      <c r="G406" s="18" t="str">
        <f>+VLOOKUP(F406,[1]Лист_1!$A:$C,2,0)</f>
        <v>331622141528</v>
      </c>
      <c r="H406" s="21">
        <v>1</v>
      </c>
      <c r="I406" s="26"/>
    </row>
    <row r="407" spans="1:9" s="13" customFormat="1" ht="51.6" customHeight="1">
      <c r="A407" s="6" t="s">
        <v>330</v>
      </c>
      <c r="B407" s="11" t="s">
        <v>410</v>
      </c>
      <c r="C407" s="12" t="s">
        <v>410</v>
      </c>
      <c r="D407" s="6" t="s">
        <v>298</v>
      </c>
      <c r="E407" s="6" t="s">
        <v>718</v>
      </c>
      <c r="F407" s="6" t="s">
        <v>330</v>
      </c>
      <c r="G407" s="18" t="str">
        <f>+VLOOKUP(F407,[1]Лист_1!$A:$C,2,0)</f>
        <v>771548822154</v>
      </c>
      <c r="H407" s="21">
        <v>1</v>
      </c>
      <c r="I407" s="26"/>
    </row>
    <row r="408" spans="1:9" s="13" customFormat="1" ht="51.6" customHeight="1">
      <c r="A408" s="6" t="s">
        <v>341</v>
      </c>
      <c r="B408" s="11" t="s">
        <v>410</v>
      </c>
      <c r="C408" s="12" t="s">
        <v>410</v>
      </c>
      <c r="D408" s="6" t="s">
        <v>298</v>
      </c>
      <c r="E408" s="6" t="s">
        <v>718</v>
      </c>
      <c r="F408" s="6" t="s">
        <v>341</v>
      </c>
      <c r="G408" s="18" t="str">
        <f>+VLOOKUP(F408,[1]Лист_1!$A:$C,2,0)</f>
        <v>771708739098</v>
      </c>
      <c r="H408" s="21">
        <v>1</v>
      </c>
      <c r="I408" s="26"/>
    </row>
    <row r="409" spans="1:9" s="13" customFormat="1" ht="51.6" customHeight="1">
      <c r="A409" s="6" t="s">
        <v>333</v>
      </c>
      <c r="B409" s="11" t="s">
        <v>410</v>
      </c>
      <c r="C409" s="12" t="s">
        <v>410</v>
      </c>
      <c r="D409" s="6" t="s">
        <v>298</v>
      </c>
      <c r="E409" s="6" t="s">
        <v>718</v>
      </c>
      <c r="F409" s="6" t="s">
        <v>333</v>
      </c>
      <c r="G409" s="18" t="str">
        <f>+VLOOKUP(F409,[1]Лист_1!$A:$C,2,0)</f>
        <v>344693590793</v>
      </c>
      <c r="H409" s="21">
        <v>1</v>
      </c>
      <c r="I409" s="26"/>
    </row>
    <row r="410" spans="1:9" s="13" customFormat="1" ht="51.6" customHeight="1">
      <c r="A410" s="6" t="s">
        <v>337</v>
      </c>
      <c r="B410" s="11" t="s">
        <v>410</v>
      </c>
      <c r="C410" s="12" t="s">
        <v>410</v>
      </c>
      <c r="D410" s="6" t="s">
        <v>298</v>
      </c>
      <c r="E410" s="6" t="s">
        <v>718</v>
      </c>
      <c r="F410" s="6" t="s">
        <v>337</v>
      </c>
      <c r="G410" s="18" t="str">
        <f>+VLOOKUP(F410,[1]Лист_1!$A:$C,2,0)</f>
        <v>503228055239</v>
      </c>
      <c r="H410" s="21">
        <v>1</v>
      </c>
      <c r="I410" s="26"/>
    </row>
    <row r="411" spans="1:9" s="13" customFormat="1" ht="51.6" customHeight="1">
      <c r="A411" s="6" t="s">
        <v>328</v>
      </c>
      <c r="B411" s="11" t="s">
        <v>410</v>
      </c>
      <c r="C411" s="12" t="s">
        <v>410</v>
      </c>
      <c r="D411" s="6" t="s">
        <v>298</v>
      </c>
      <c r="E411" s="6" t="s">
        <v>718</v>
      </c>
      <c r="F411" s="6" t="s">
        <v>328</v>
      </c>
      <c r="G411" s="18" t="str">
        <f>+VLOOKUP(F411,[1]Лист_1!$A:$C,2,0)</f>
        <v>772643115679</v>
      </c>
      <c r="H411" s="21">
        <v>1</v>
      </c>
      <c r="I411" s="26"/>
    </row>
    <row r="412" spans="1:9" s="13" customFormat="1" ht="51.6" customHeight="1">
      <c r="A412" s="29" t="s">
        <v>761</v>
      </c>
      <c r="B412" s="11" t="s">
        <v>410</v>
      </c>
      <c r="C412" s="12" t="s">
        <v>410</v>
      </c>
      <c r="D412" s="6" t="s">
        <v>298</v>
      </c>
      <c r="E412" s="6" t="s">
        <v>718</v>
      </c>
      <c r="F412" s="29" t="s">
        <v>761</v>
      </c>
      <c r="G412" s="18" t="str">
        <f>+VLOOKUP(F412,[1]Лист_1!$A:$C,2,0)</f>
        <v>773389811743</v>
      </c>
      <c r="H412" s="21">
        <v>1</v>
      </c>
      <c r="I412" s="26"/>
    </row>
    <row r="413" spans="1:9" s="13" customFormat="1" ht="51.6" customHeight="1">
      <c r="A413" s="6" t="s">
        <v>329</v>
      </c>
      <c r="B413" s="11" t="s">
        <v>410</v>
      </c>
      <c r="C413" s="12" t="s">
        <v>410</v>
      </c>
      <c r="D413" s="6" t="s">
        <v>298</v>
      </c>
      <c r="E413" s="6" t="s">
        <v>718</v>
      </c>
      <c r="F413" s="6" t="s">
        <v>329</v>
      </c>
      <c r="G413" s="18" t="str">
        <f>+VLOOKUP(F413,[1]Лист_1!$A:$C,2,0)</f>
        <v>614199111783</v>
      </c>
      <c r="H413" s="21">
        <v>1</v>
      </c>
      <c r="I413" s="26"/>
    </row>
    <row r="414" spans="1:9" s="13" customFormat="1" ht="51.6" customHeight="1">
      <c r="A414" s="6" t="s">
        <v>773</v>
      </c>
      <c r="B414" s="11" t="s">
        <v>410</v>
      </c>
      <c r="C414" s="12" t="s">
        <v>410</v>
      </c>
      <c r="D414" s="6" t="s">
        <v>298</v>
      </c>
      <c r="E414" s="6" t="s">
        <v>718</v>
      </c>
      <c r="F414" s="6" t="s">
        <v>773</v>
      </c>
      <c r="G414" s="18" t="str">
        <f>+VLOOKUP(F414,[1]Лист_1!$A:$C,2,0)</f>
        <v>671101096044</v>
      </c>
      <c r="H414" s="20">
        <v>1</v>
      </c>
      <c r="I414" s="26"/>
    </row>
    <row r="415" spans="1:9" s="13" customFormat="1" ht="51.6" customHeight="1">
      <c r="A415" s="6" t="s">
        <v>759</v>
      </c>
      <c r="B415" s="11" t="s">
        <v>410</v>
      </c>
      <c r="C415" s="12" t="s">
        <v>410</v>
      </c>
      <c r="D415" s="6" t="s">
        <v>298</v>
      </c>
      <c r="E415" s="6" t="s">
        <v>718</v>
      </c>
      <c r="F415" s="6" t="s">
        <v>759</v>
      </c>
      <c r="G415" s="18" t="str">
        <f>+VLOOKUP(F415,[1]Лист_1!$A:$C,2,0)</f>
        <v>771548755532</v>
      </c>
      <c r="H415" s="21">
        <v>1</v>
      </c>
      <c r="I415" s="26"/>
    </row>
    <row r="416" spans="1:9" s="13" customFormat="1" ht="51.6" customHeight="1">
      <c r="A416" s="6" t="s">
        <v>762</v>
      </c>
      <c r="B416" s="11" t="s">
        <v>410</v>
      </c>
      <c r="C416" s="12" t="s">
        <v>410</v>
      </c>
      <c r="D416" s="6" t="s">
        <v>298</v>
      </c>
      <c r="E416" s="6" t="s">
        <v>718</v>
      </c>
      <c r="F416" s="6" t="s">
        <v>762</v>
      </c>
      <c r="G416" s="18" t="str">
        <f>+VLOOKUP(F416,[1]Лист_1!$A:$C,2,0)</f>
        <v>771548662528</v>
      </c>
      <c r="H416" s="21">
        <v>1</v>
      </c>
      <c r="I416" s="26"/>
    </row>
    <row r="417" spans="1:9" s="13" customFormat="1" ht="51.6" customHeight="1">
      <c r="A417" s="6" t="s">
        <v>342</v>
      </c>
      <c r="B417" s="11" t="s">
        <v>410</v>
      </c>
      <c r="C417" s="12" t="s">
        <v>410</v>
      </c>
      <c r="D417" s="6" t="s">
        <v>298</v>
      </c>
      <c r="E417" s="6" t="s">
        <v>718</v>
      </c>
      <c r="F417" s="6" t="s">
        <v>342</v>
      </c>
      <c r="G417" s="18" t="str">
        <f>+VLOOKUP(F417,[1]Лист_1!$A:$C,2,0)</f>
        <v>771480091931</v>
      </c>
      <c r="H417" s="21">
        <v>1</v>
      </c>
      <c r="I417" s="26"/>
    </row>
    <row r="418" spans="1:9" s="13" customFormat="1" ht="51.6" customHeight="1">
      <c r="A418" s="28" t="s">
        <v>25</v>
      </c>
      <c r="B418" s="11" t="s">
        <v>410</v>
      </c>
      <c r="C418" s="12" t="s">
        <v>410</v>
      </c>
      <c r="D418" s="50" t="s">
        <v>298</v>
      </c>
      <c r="E418" s="50" t="s">
        <v>718</v>
      </c>
      <c r="F418" s="28" t="s">
        <v>66</v>
      </c>
      <c r="G418" s="18"/>
      <c r="H418" s="21">
        <v>1</v>
      </c>
      <c r="I418" s="26"/>
    </row>
    <row r="419" spans="1:9" s="13" customFormat="1" ht="35.1" customHeight="1">
      <c r="A419" s="6" t="s">
        <v>339</v>
      </c>
      <c r="B419" s="11" t="s">
        <v>410</v>
      </c>
      <c r="C419" s="12" t="s">
        <v>410</v>
      </c>
      <c r="D419" s="6" t="s">
        <v>298</v>
      </c>
      <c r="E419" s="6" t="s">
        <v>299</v>
      </c>
      <c r="F419" s="6" t="s">
        <v>339</v>
      </c>
      <c r="G419" s="18" t="str">
        <f>+VLOOKUP(F419,[1]Лист_1!$A:$C,2,0)</f>
        <v>773124109874</v>
      </c>
      <c r="H419" s="21">
        <v>1</v>
      </c>
      <c r="I419" s="26"/>
    </row>
    <row r="420" spans="1:9" s="13" customFormat="1" ht="35.1" customHeight="1">
      <c r="A420" s="29" t="s">
        <v>779</v>
      </c>
      <c r="B420" s="11" t="s">
        <v>410</v>
      </c>
      <c r="C420" s="12" t="s">
        <v>410</v>
      </c>
      <c r="D420" s="6" t="s">
        <v>298</v>
      </c>
      <c r="E420" s="6" t="s">
        <v>299</v>
      </c>
      <c r="F420" s="29" t="s">
        <v>779</v>
      </c>
      <c r="G420" s="18" t="str">
        <f>+VLOOKUP(F420,[1]Лист_1!$A:$C,2,0)</f>
        <v>772351448335</v>
      </c>
      <c r="H420" s="21">
        <v>1</v>
      </c>
      <c r="I420" s="26"/>
    </row>
    <row r="421" spans="1:9" s="13" customFormat="1" ht="35.1" customHeight="1">
      <c r="A421" s="6" t="s">
        <v>335</v>
      </c>
      <c r="B421" s="11" t="s">
        <v>410</v>
      </c>
      <c r="C421" s="12" t="s">
        <v>410</v>
      </c>
      <c r="D421" s="6" t="s">
        <v>298</v>
      </c>
      <c r="E421" s="6" t="s">
        <v>299</v>
      </c>
      <c r="F421" s="6" t="s">
        <v>335</v>
      </c>
      <c r="G421" s="18" t="str">
        <f>+VLOOKUP(F421,[1]Лист_1!$A:$C,2,0)</f>
        <v>691409005677</v>
      </c>
      <c r="H421" s="21">
        <v>1</v>
      </c>
      <c r="I421" s="26"/>
    </row>
    <row r="422" spans="1:9" s="13" customFormat="1" ht="35.1" customHeight="1">
      <c r="A422" s="6" t="s">
        <v>334</v>
      </c>
      <c r="B422" s="11" t="s">
        <v>410</v>
      </c>
      <c r="C422" s="12" t="s">
        <v>410</v>
      </c>
      <c r="D422" s="6" t="s">
        <v>298</v>
      </c>
      <c r="E422" s="6" t="s">
        <v>299</v>
      </c>
      <c r="F422" s="28" t="s">
        <v>66</v>
      </c>
      <c r="G422" s="18"/>
      <c r="H422" s="21">
        <v>1</v>
      </c>
      <c r="I422" s="26"/>
    </row>
    <row r="423" spans="1:9" s="13" customFormat="1" ht="44.45" customHeight="1">
      <c r="A423" s="19" t="s">
        <v>25</v>
      </c>
      <c r="B423" s="11" t="s">
        <v>410</v>
      </c>
      <c r="C423" s="12" t="s">
        <v>410</v>
      </c>
      <c r="D423" s="6" t="s">
        <v>298</v>
      </c>
      <c r="E423" s="18" t="s">
        <v>137</v>
      </c>
      <c r="F423" s="28" t="s">
        <v>66</v>
      </c>
      <c r="G423" s="18"/>
      <c r="H423" s="21">
        <v>0.25</v>
      </c>
      <c r="I423" s="26"/>
    </row>
    <row r="424" spans="1:9" s="13" customFormat="1" ht="44.45" customHeight="1">
      <c r="A424" s="18" t="s">
        <v>827</v>
      </c>
      <c r="B424" s="11" t="s">
        <v>410</v>
      </c>
      <c r="C424" s="12" t="s">
        <v>410</v>
      </c>
      <c r="D424" s="6" t="s">
        <v>298</v>
      </c>
      <c r="E424" s="18" t="s">
        <v>137</v>
      </c>
      <c r="F424" s="6" t="s">
        <v>827</v>
      </c>
      <c r="G424" s="18" t="str">
        <f>+VLOOKUP(F424,[1]Лист_1!$A:$C,2,0)</f>
        <v>971300634425</v>
      </c>
      <c r="H424" s="21">
        <v>0.75</v>
      </c>
      <c r="I424" s="26"/>
    </row>
    <row r="425" spans="1:9" s="13" customFormat="1" ht="35.1" customHeight="1">
      <c r="A425" s="18" t="s">
        <v>332</v>
      </c>
      <c r="B425" s="11" t="s">
        <v>410</v>
      </c>
      <c r="C425" s="12" t="s">
        <v>410</v>
      </c>
      <c r="D425" s="6" t="s">
        <v>298</v>
      </c>
      <c r="E425" s="18" t="s">
        <v>299</v>
      </c>
      <c r="F425" s="6" t="s">
        <v>332</v>
      </c>
      <c r="G425" s="18" t="str">
        <f>+VLOOKUP(F425,[1]Лист_1!$A:$C,2,0)</f>
        <v>570206324046</v>
      </c>
      <c r="H425" s="21">
        <v>1</v>
      </c>
      <c r="I425" s="26"/>
    </row>
    <row r="426" spans="1:9" s="13" customFormat="1" ht="35.1" customHeight="1">
      <c r="A426" s="18" t="s">
        <v>331</v>
      </c>
      <c r="B426" s="11" t="s">
        <v>410</v>
      </c>
      <c r="C426" s="12" t="s">
        <v>410</v>
      </c>
      <c r="D426" s="6" t="s">
        <v>298</v>
      </c>
      <c r="E426" s="18" t="s">
        <v>299</v>
      </c>
      <c r="F426" s="6" t="s">
        <v>331</v>
      </c>
      <c r="G426" s="18" t="str">
        <f>+VLOOKUP(F426,[1]Лист_1!$A:$C,2,0)</f>
        <v>504816433240</v>
      </c>
      <c r="H426" s="21">
        <v>1</v>
      </c>
      <c r="I426" s="26"/>
    </row>
    <row r="427" spans="1:9" s="13" customFormat="1" ht="35.1" customHeight="1">
      <c r="A427" s="6" t="s">
        <v>343</v>
      </c>
      <c r="B427" s="11" t="s">
        <v>410</v>
      </c>
      <c r="C427" s="12" t="s">
        <v>410</v>
      </c>
      <c r="D427" s="6" t="s">
        <v>300</v>
      </c>
      <c r="E427" s="6" t="s">
        <v>14</v>
      </c>
      <c r="F427" s="6" t="s">
        <v>343</v>
      </c>
      <c r="G427" s="18" t="str">
        <f>+VLOOKUP(F427,[1]Лист_1!$A:$C,2,0)</f>
        <v>211578783736</v>
      </c>
      <c r="H427" s="21">
        <v>1</v>
      </c>
      <c r="I427" s="26"/>
    </row>
    <row r="428" spans="1:9" s="13" customFormat="1" ht="44.45" customHeight="1">
      <c r="A428" s="18" t="s">
        <v>350</v>
      </c>
      <c r="B428" s="11" t="s">
        <v>410</v>
      </c>
      <c r="C428" s="12" t="s">
        <v>410</v>
      </c>
      <c r="D428" s="6" t="s">
        <v>300</v>
      </c>
      <c r="E428" s="18" t="s">
        <v>15</v>
      </c>
      <c r="F428" s="6" t="s">
        <v>350</v>
      </c>
      <c r="G428" s="18" t="str">
        <f>+VLOOKUP(F428,[1]Лист_1!$A:$C,2,0)</f>
        <v>772883452445</v>
      </c>
      <c r="H428" s="21">
        <v>1</v>
      </c>
      <c r="I428" s="26"/>
    </row>
    <row r="429" spans="1:9" s="13" customFormat="1" ht="44.45" customHeight="1">
      <c r="A429" s="18" t="s">
        <v>353</v>
      </c>
      <c r="B429" s="11" t="s">
        <v>410</v>
      </c>
      <c r="C429" s="12" t="s">
        <v>410</v>
      </c>
      <c r="D429" s="6" t="s">
        <v>300</v>
      </c>
      <c r="E429" s="18" t="s">
        <v>15</v>
      </c>
      <c r="F429" s="6" t="s">
        <v>353</v>
      </c>
      <c r="G429" s="18" t="str">
        <f>+VLOOKUP(F429,[1]Лист_1!$A:$C,2,0)</f>
        <v>503621014990</v>
      </c>
      <c r="H429" s="21">
        <v>1</v>
      </c>
      <c r="I429" s="26"/>
    </row>
    <row r="430" spans="1:9" s="13" customFormat="1" ht="35.1" customHeight="1">
      <c r="A430" s="18" t="s">
        <v>344</v>
      </c>
      <c r="B430" s="11" t="s">
        <v>410</v>
      </c>
      <c r="C430" s="12" t="s">
        <v>410</v>
      </c>
      <c r="D430" s="6" t="s">
        <v>300</v>
      </c>
      <c r="E430" s="18" t="s">
        <v>616</v>
      </c>
      <c r="F430" s="6" t="s">
        <v>344</v>
      </c>
      <c r="G430" s="18" t="str">
        <f>+VLOOKUP(F430,[1]Лист_1!$A:$C,2,0)</f>
        <v>771537442697</v>
      </c>
      <c r="H430" s="21">
        <v>1</v>
      </c>
      <c r="I430" s="26"/>
    </row>
    <row r="431" spans="1:9" s="13" customFormat="1" ht="35.1" customHeight="1">
      <c r="A431" s="18" t="s">
        <v>345</v>
      </c>
      <c r="B431" s="11" t="s">
        <v>410</v>
      </c>
      <c r="C431" s="12" t="s">
        <v>410</v>
      </c>
      <c r="D431" s="6" t="s">
        <v>300</v>
      </c>
      <c r="E431" s="18" t="s">
        <v>616</v>
      </c>
      <c r="F431" s="6" t="s">
        <v>345</v>
      </c>
      <c r="G431" s="18" t="str">
        <f>+VLOOKUP(F431,[1]Лист_1!$A:$C,2,0)</f>
        <v>771316889663</v>
      </c>
      <c r="H431" s="21">
        <v>1</v>
      </c>
      <c r="I431" s="26"/>
    </row>
    <row r="432" spans="1:9" s="13" customFormat="1" ht="44.45" customHeight="1">
      <c r="A432" s="18" t="s">
        <v>354</v>
      </c>
      <c r="B432" s="11" t="s">
        <v>410</v>
      </c>
      <c r="C432" s="12" t="s">
        <v>410</v>
      </c>
      <c r="D432" s="6" t="s">
        <v>300</v>
      </c>
      <c r="E432" s="18" t="s">
        <v>616</v>
      </c>
      <c r="F432" s="6" t="s">
        <v>354</v>
      </c>
      <c r="G432" s="18" t="str">
        <f>+VLOOKUP(F432,[1]Лист_1!$A:$C,2,0)</f>
        <v>771594723006</v>
      </c>
      <c r="H432" s="21">
        <v>1</v>
      </c>
      <c r="I432" s="26"/>
    </row>
    <row r="433" spans="1:9" s="13" customFormat="1" ht="50.1" customHeight="1">
      <c r="A433" s="6" t="s">
        <v>859</v>
      </c>
      <c r="B433" s="11" t="s">
        <v>410</v>
      </c>
      <c r="C433" s="12" t="s">
        <v>410</v>
      </c>
      <c r="D433" s="6" t="s">
        <v>300</v>
      </c>
      <c r="E433" s="6" t="s">
        <v>718</v>
      </c>
      <c r="F433" s="6" t="s">
        <v>859</v>
      </c>
      <c r="G433" s="18" t="str">
        <f>+VLOOKUP(F433,[1]Лист_1!$A:$C,2,0)</f>
        <v>772611505203</v>
      </c>
      <c r="H433" s="21">
        <v>0.8</v>
      </c>
      <c r="I433" s="26"/>
    </row>
    <row r="434" spans="1:9" s="13" customFormat="1" ht="50.1" customHeight="1">
      <c r="A434" s="28" t="s">
        <v>25</v>
      </c>
      <c r="B434" s="11" t="s">
        <v>410</v>
      </c>
      <c r="C434" s="12" t="s">
        <v>410</v>
      </c>
      <c r="D434" s="50" t="s">
        <v>300</v>
      </c>
      <c r="E434" s="50" t="s">
        <v>718</v>
      </c>
      <c r="F434" s="28" t="s">
        <v>66</v>
      </c>
      <c r="G434" s="18"/>
      <c r="H434" s="21">
        <v>0.2</v>
      </c>
      <c r="I434" s="26"/>
    </row>
    <row r="435" spans="1:9" s="13" customFormat="1" ht="50.1" customHeight="1">
      <c r="A435" s="6" t="s">
        <v>346</v>
      </c>
      <c r="B435" s="11" t="s">
        <v>410</v>
      </c>
      <c r="C435" s="12" t="s">
        <v>410</v>
      </c>
      <c r="D435" s="6" t="s">
        <v>300</v>
      </c>
      <c r="E435" s="6" t="s">
        <v>718</v>
      </c>
      <c r="F435" s="6" t="s">
        <v>346</v>
      </c>
      <c r="G435" s="18" t="str">
        <f>+VLOOKUP(F435,[1]Лист_1!$A:$C,2,0)</f>
        <v>772986387935</v>
      </c>
      <c r="H435" s="21">
        <v>1</v>
      </c>
      <c r="I435" s="26"/>
    </row>
    <row r="436" spans="1:9" s="13" customFormat="1" ht="50.1" customHeight="1">
      <c r="A436" s="6" t="s">
        <v>347</v>
      </c>
      <c r="B436" s="11" t="s">
        <v>410</v>
      </c>
      <c r="C436" s="12" t="s">
        <v>410</v>
      </c>
      <c r="D436" s="6" t="s">
        <v>300</v>
      </c>
      <c r="E436" s="6" t="s">
        <v>718</v>
      </c>
      <c r="F436" s="6" t="s">
        <v>347</v>
      </c>
      <c r="G436" s="18" t="str">
        <f>+VLOOKUP(F436,[1]Лист_1!$A:$C,2,0)</f>
        <v>504796182250</v>
      </c>
      <c r="H436" s="21">
        <v>1</v>
      </c>
      <c r="I436" s="26"/>
    </row>
    <row r="437" spans="1:9" s="13" customFormat="1" ht="44.45" customHeight="1">
      <c r="A437" s="6" t="s">
        <v>860</v>
      </c>
      <c r="B437" s="11" t="s">
        <v>410</v>
      </c>
      <c r="C437" s="12" t="s">
        <v>410</v>
      </c>
      <c r="D437" s="6" t="s">
        <v>300</v>
      </c>
      <c r="E437" s="6" t="s">
        <v>718</v>
      </c>
      <c r="F437" s="6" t="s">
        <v>860</v>
      </c>
      <c r="G437" s="18" t="str">
        <f>+VLOOKUP(F437,[1]Лист_1!$A:$C,2,0)</f>
        <v>772389576505</v>
      </c>
      <c r="H437" s="21">
        <v>1</v>
      </c>
      <c r="I437" s="26"/>
    </row>
    <row r="438" spans="1:9" s="13" customFormat="1" ht="44.45" customHeight="1">
      <c r="A438" s="6" t="s">
        <v>817</v>
      </c>
      <c r="B438" s="11" t="s">
        <v>410</v>
      </c>
      <c r="C438" s="12" t="s">
        <v>410</v>
      </c>
      <c r="D438" s="6" t="s">
        <v>300</v>
      </c>
      <c r="E438" s="6" t="s">
        <v>718</v>
      </c>
      <c r="F438" s="6" t="s">
        <v>817</v>
      </c>
      <c r="G438" s="45">
        <v>772167097678</v>
      </c>
      <c r="H438" s="21">
        <v>1</v>
      </c>
      <c r="I438" s="26"/>
    </row>
    <row r="439" spans="1:9" s="13" customFormat="1" ht="44.45" customHeight="1">
      <c r="A439" s="6" t="s">
        <v>351</v>
      </c>
      <c r="B439" s="11" t="s">
        <v>410</v>
      </c>
      <c r="C439" s="12" t="s">
        <v>410</v>
      </c>
      <c r="D439" s="6" t="s">
        <v>300</v>
      </c>
      <c r="E439" s="6" t="s">
        <v>718</v>
      </c>
      <c r="F439" s="6" t="s">
        <v>351</v>
      </c>
      <c r="G439" s="18" t="str">
        <f>+VLOOKUP(F439,[1]Лист_1!$A:$C,2,0)</f>
        <v>504228604931</v>
      </c>
      <c r="H439" s="21">
        <v>0.8</v>
      </c>
      <c r="I439" s="26"/>
    </row>
    <row r="440" spans="1:9" s="13" customFormat="1" ht="44.45" customHeight="1">
      <c r="A440" s="28" t="s">
        <v>25</v>
      </c>
      <c r="B440" s="11" t="s">
        <v>410</v>
      </c>
      <c r="C440" s="12" t="s">
        <v>410</v>
      </c>
      <c r="D440" s="50" t="s">
        <v>300</v>
      </c>
      <c r="E440" s="50" t="s">
        <v>718</v>
      </c>
      <c r="F440" s="28" t="s">
        <v>66</v>
      </c>
      <c r="G440" s="18"/>
      <c r="H440" s="21">
        <v>0.2</v>
      </c>
      <c r="I440" s="26"/>
    </row>
    <row r="441" spans="1:9" s="13" customFormat="1" ht="44.45" customHeight="1">
      <c r="A441" s="29" t="s">
        <v>941</v>
      </c>
      <c r="B441" s="11" t="s">
        <v>410</v>
      </c>
      <c r="C441" s="12" t="s">
        <v>410</v>
      </c>
      <c r="D441" s="6" t="s">
        <v>300</v>
      </c>
      <c r="E441" s="6" t="s">
        <v>718</v>
      </c>
      <c r="F441" s="29" t="s">
        <v>941</v>
      </c>
      <c r="G441" s="18" t="str">
        <f>+VLOOKUP(F441,[1]Лист_1!$A:$C,2,0)</f>
        <v>502505503518</v>
      </c>
      <c r="H441" s="21">
        <v>1</v>
      </c>
      <c r="I441" s="26"/>
    </row>
    <row r="442" spans="1:9" s="13" customFormat="1" ht="51.6" customHeight="1">
      <c r="A442" s="28" t="s">
        <v>25</v>
      </c>
      <c r="B442" s="11" t="s">
        <v>410</v>
      </c>
      <c r="C442" s="12" t="s">
        <v>410</v>
      </c>
      <c r="D442" s="50" t="s">
        <v>300</v>
      </c>
      <c r="E442" s="50" t="s">
        <v>718</v>
      </c>
      <c r="F442" s="28" t="s">
        <v>66</v>
      </c>
      <c r="G442" s="18"/>
      <c r="H442" s="21">
        <v>1</v>
      </c>
      <c r="I442" s="26"/>
    </row>
    <row r="443" spans="1:9" s="13" customFormat="1" ht="51.6" customHeight="1">
      <c r="A443" s="28" t="s">
        <v>25</v>
      </c>
      <c r="B443" s="11" t="s">
        <v>410</v>
      </c>
      <c r="C443" s="12" t="s">
        <v>410</v>
      </c>
      <c r="D443" s="50" t="s">
        <v>300</v>
      </c>
      <c r="E443" s="50" t="s">
        <v>718</v>
      </c>
      <c r="F443" s="28" t="s">
        <v>66</v>
      </c>
      <c r="G443" s="18"/>
      <c r="H443" s="21">
        <v>1</v>
      </c>
      <c r="I443" s="26"/>
    </row>
    <row r="444" spans="1:9" s="13" customFormat="1" ht="35.1" customHeight="1">
      <c r="A444" s="6" t="s">
        <v>349</v>
      </c>
      <c r="B444" s="11" t="s">
        <v>410</v>
      </c>
      <c r="C444" s="12" t="s">
        <v>410</v>
      </c>
      <c r="D444" s="6" t="s">
        <v>300</v>
      </c>
      <c r="E444" s="6" t="s">
        <v>137</v>
      </c>
      <c r="F444" s="6" t="s">
        <v>349</v>
      </c>
      <c r="G444" s="18" t="str">
        <f>+VLOOKUP(F444,[1]Лист_1!$A:$C,2,0)</f>
        <v>774394468185</v>
      </c>
      <c r="H444" s="21">
        <v>1</v>
      </c>
      <c r="I444" s="26"/>
    </row>
    <row r="445" spans="1:9" s="13" customFormat="1" ht="35.1" customHeight="1">
      <c r="A445" s="6" t="s">
        <v>348</v>
      </c>
      <c r="B445" s="11" t="s">
        <v>410</v>
      </c>
      <c r="C445" s="12" t="s">
        <v>410</v>
      </c>
      <c r="D445" s="6" t="s">
        <v>300</v>
      </c>
      <c r="E445" s="6" t="s">
        <v>137</v>
      </c>
      <c r="F445" s="6" t="s">
        <v>348</v>
      </c>
      <c r="G445" s="18" t="str">
        <f>+VLOOKUP(F445,[1]Лист_1!$A:$C,2,0)</f>
        <v>580204649609</v>
      </c>
      <c r="H445" s="21">
        <v>0</v>
      </c>
      <c r="I445" s="26"/>
    </row>
    <row r="446" spans="1:9" s="13" customFormat="1" ht="44.45" customHeight="1">
      <c r="A446" s="6" t="s">
        <v>352</v>
      </c>
      <c r="B446" s="11" t="s">
        <v>410</v>
      </c>
      <c r="C446" s="12" t="s">
        <v>410</v>
      </c>
      <c r="D446" s="6" t="s">
        <v>300</v>
      </c>
      <c r="E446" s="6" t="s">
        <v>299</v>
      </c>
      <c r="F446" s="6" t="s">
        <v>352</v>
      </c>
      <c r="G446" s="18" t="str">
        <f>+VLOOKUP(F446,[1]Лист_1!$A:$C,2,0)</f>
        <v>503128347728</v>
      </c>
      <c r="H446" s="21">
        <v>1</v>
      </c>
      <c r="I446" s="26"/>
    </row>
    <row r="447" spans="1:9" s="13" customFormat="1" ht="44.45" customHeight="1">
      <c r="A447" s="6" t="s">
        <v>355</v>
      </c>
      <c r="B447" s="11" t="s">
        <v>410</v>
      </c>
      <c r="C447" s="12" t="s">
        <v>410</v>
      </c>
      <c r="D447" s="6" t="s">
        <v>300</v>
      </c>
      <c r="E447" s="6" t="s">
        <v>137</v>
      </c>
      <c r="F447" s="6" t="s">
        <v>355</v>
      </c>
      <c r="G447" s="18" t="str">
        <f>+VLOOKUP(F447,[1]Лист_1!$A:$C,2,0)</f>
        <v>773579333380</v>
      </c>
      <c r="H447" s="21">
        <v>1</v>
      </c>
      <c r="I447" s="26"/>
    </row>
    <row r="448" spans="1:9" s="13" customFormat="1" ht="44.45" customHeight="1">
      <c r="A448" s="6" t="s">
        <v>356</v>
      </c>
      <c r="B448" s="11" t="s">
        <v>410</v>
      </c>
      <c r="C448" s="12" t="s">
        <v>410</v>
      </c>
      <c r="D448" s="6" t="s">
        <v>301</v>
      </c>
      <c r="E448" s="6" t="s">
        <v>14</v>
      </c>
      <c r="F448" s="6" t="s">
        <v>356</v>
      </c>
      <c r="G448" s="18" t="str">
        <f>+VLOOKUP(F448,[1]Лист_1!$A:$C,2,0)</f>
        <v>771595222482</v>
      </c>
      <c r="H448" s="21">
        <v>1</v>
      </c>
      <c r="I448" s="26"/>
    </row>
    <row r="449" spans="1:9" s="13" customFormat="1" ht="44.45" customHeight="1">
      <c r="A449" s="29" t="s">
        <v>923</v>
      </c>
      <c r="B449" s="11" t="s">
        <v>410</v>
      </c>
      <c r="C449" s="12" t="s">
        <v>410</v>
      </c>
      <c r="D449" s="6" t="s">
        <v>301</v>
      </c>
      <c r="E449" s="6" t="s">
        <v>15</v>
      </c>
      <c r="F449" s="29" t="s">
        <v>923</v>
      </c>
      <c r="G449" s="18" t="str">
        <f>+VLOOKUP(F449,[1]Лист_1!$A:$C,2,0)</f>
        <v>760406072846</v>
      </c>
      <c r="H449" s="21">
        <v>1</v>
      </c>
      <c r="I449" s="26"/>
    </row>
    <row r="450" spans="1:9" s="13" customFormat="1" ht="44.45" customHeight="1">
      <c r="A450" s="28" t="s">
        <v>25</v>
      </c>
      <c r="B450" s="11" t="s">
        <v>410</v>
      </c>
      <c r="C450" s="12" t="s">
        <v>410</v>
      </c>
      <c r="D450" s="6" t="s">
        <v>301</v>
      </c>
      <c r="E450" s="6" t="s">
        <v>137</v>
      </c>
      <c r="F450" s="29" t="s">
        <v>966</v>
      </c>
      <c r="G450" s="48" t="s">
        <v>967</v>
      </c>
      <c r="H450" s="21">
        <v>0.5</v>
      </c>
      <c r="I450" s="26"/>
    </row>
    <row r="451" spans="1:9" s="13" customFormat="1" ht="44.45" customHeight="1">
      <c r="A451" s="28" t="s">
        <v>25</v>
      </c>
      <c r="B451" s="11" t="s">
        <v>410</v>
      </c>
      <c r="C451" s="12" t="s">
        <v>410</v>
      </c>
      <c r="D451" s="6" t="s">
        <v>301</v>
      </c>
      <c r="E451" s="6" t="s">
        <v>137</v>
      </c>
      <c r="F451" s="28" t="s">
        <v>66</v>
      </c>
      <c r="G451" s="18"/>
      <c r="H451" s="21">
        <v>0.5</v>
      </c>
      <c r="I451" s="26"/>
    </row>
    <row r="452" spans="1:9" s="13" customFormat="1" ht="35.1" customHeight="1">
      <c r="A452" s="6" t="s">
        <v>357</v>
      </c>
      <c r="B452" s="11" t="s">
        <v>410</v>
      </c>
      <c r="C452" s="12" t="s">
        <v>410</v>
      </c>
      <c r="D452" s="6" t="s">
        <v>302</v>
      </c>
      <c r="E452" s="6" t="s">
        <v>67</v>
      </c>
      <c r="F452" s="6" t="s">
        <v>357</v>
      </c>
      <c r="G452" s="18" t="str">
        <f>+VLOOKUP(F452,[1]Лист_1!$A:$C,2,0)</f>
        <v>561106500430</v>
      </c>
      <c r="H452" s="21">
        <v>1</v>
      </c>
      <c r="I452" s="26"/>
    </row>
    <row r="453" spans="1:9" s="13" customFormat="1" ht="35.1" customHeight="1">
      <c r="A453" s="6" t="s">
        <v>360</v>
      </c>
      <c r="B453" s="11" t="s">
        <v>410</v>
      </c>
      <c r="C453" s="12" t="s">
        <v>410</v>
      </c>
      <c r="D453" s="6" t="s">
        <v>305</v>
      </c>
      <c r="E453" s="6" t="s">
        <v>304</v>
      </c>
      <c r="F453" s="6" t="s">
        <v>360</v>
      </c>
      <c r="G453" s="18" t="str">
        <f>+VLOOKUP(F453,[1]Лист_1!$A:$C,2,0)</f>
        <v>500906664438</v>
      </c>
      <c r="H453" s="21">
        <v>1</v>
      </c>
      <c r="I453" s="26"/>
    </row>
    <row r="454" spans="1:9" s="13" customFormat="1" ht="35.1" customHeight="1">
      <c r="A454" s="29" t="s">
        <v>872</v>
      </c>
      <c r="B454" s="11" t="s">
        <v>410</v>
      </c>
      <c r="C454" s="12" t="s">
        <v>410</v>
      </c>
      <c r="D454" s="6" t="s">
        <v>305</v>
      </c>
      <c r="E454" s="6" t="s">
        <v>15</v>
      </c>
      <c r="F454" s="29" t="s">
        <v>872</v>
      </c>
      <c r="G454" s="18" t="str">
        <f>+VLOOKUP(F454,[1]Лист_1!$A:$C,2,0)</f>
        <v>890411029799</v>
      </c>
      <c r="H454" s="21">
        <v>1</v>
      </c>
      <c r="I454" s="26"/>
    </row>
    <row r="455" spans="1:9" s="13" customFormat="1" ht="35.1" customHeight="1">
      <c r="A455" s="29" t="s">
        <v>744</v>
      </c>
      <c r="B455" s="11" t="s">
        <v>410</v>
      </c>
      <c r="C455" s="12" t="s">
        <v>410</v>
      </c>
      <c r="D455" s="6" t="s">
        <v>305</v>
      </c>
      <c r="E455" s="6" t="s">
        <v>618</v>
      </c>
      <c r="F455" s="29" t="s">
        <v>744</v>
      </c>
      <c r="G455" s="18" t="str">
        <f>+VLOOKUP(F455,[1]Лист_1!$A:$C,2,0)</f>
        <v>773382505056</v>
      </c>
      <c r="H455" s="21">
        <v>1</v>
      </c>
      <c r="I455" s="26"/>
    </row>
    <row r="456" spans="1:9" s="13" customFormat="1" ht="35.1" customHeight="1">
      <c r="A456" s="6" t="s">
        <v>361</v>
      </c>
      <c r="B456" s="11" t="s">
        <v>410</v>
      </c>
      <c r="C456" s="12" t="s">
        <v>410</v>
      </c>
      <c r="D456" s="6" t="s">
        <v>305</v>
      </c>
      <c r="E456" s="6" t="s">
        <v>618</v>
      </c>
      <c r="F456" s="6" t="s">
        <v>361</v>
      </c>
      <c r="G456" s="18" t="str">
        <f>+VLOOKUP(F456,[1]Лист_1!$A:$C,2,0)</f>
        <v>710303670345</v>
      </c>
      <c r="H456" s="21">
        <v>1</v>
      </c>
      <c r="I456" s="26"/>
    </row>
    <row r="457" spans="1:9" s="13" customFormat="1" ht="35.1" customHeight="1">
      <c r="A457" s="6" t="s">
        <v>321</v>
      </c>
      <c r="B457" s="11" t="s">
        <v>410</v>
      </c>
      <c r="C457" s="12" t="s">
        <v>258</v>
      </c>
      <c r="D457" s="6" t="s">
        <v>305</v>
      </c>
      <c r="E457" s="6" t="s">
        <v>26</v>
      </c>
      <c r="F457" s="6" t="s">
        <v>321</v>
      </c>
      <c r="G457" s="18" t="str">
        <f>+VLOOKUP(F457,[1]Лист_1!$A:$C,2,0)</f>
        <v>504011300303</v>
      </c>
      <c r="H457" s="21">
        <v>1</v>
      </c>
      <c r="I457" s="26"/>
    </row>
    <row r="458" spans="1:9" s="13" customFormat="1" ht="35.1" customHeight="1">
      <c r="A458" s="6" t="s">
        <v>323</v>
      </c>
      <c r="B458" s="11" t="s">
        <v>410</v>
      </c>
      <c r="C458" s="12" t="s">
        <v>258</v>
      </c>
      <c r="D458" s="6" t="s">
        <v>305</v>
      </c>
      <c r="E458" s="6" t="s">
        <v>629</v>
      </c>
      <c r="F458" s="6" t="s">
        <v>323</v>
      </c>
      <c r="G458" s="18" t="str">
        <f>+VLOOKUP(F458,[1]Лист_1!$A:$C,2,0)</f>
        <v>773370765405</v>
      </c>
      <c r="H458" s="21">
        <v>1</v>
      </c>
      <c r="I458" s="26"/>
    </row>
    <row r="459" spans="1:9" s="13" customFormat="1" ht="35.1" customHeight="1">
      <c r="A459" s="29" t="s">
        <v>920</v>
      </c>
      <c r="B459" s="11" t="s">
        <v>410</v>
      </c>
      <c r="C459" s="12" t="s">
        <v>410</v>
      </c>
      <c r="D459" s="6" t="s">
        <v>902</v>
      </c>
      <c r="E459" s="6" t="s">
        <v>304</v>
      </c>
      <c r="F459" s="29" t="s">
        <v>920</v>
      </c>
      <c r="G459" s="18" t="str">
        <f>+VLOOKUP(F459,[1]Лист_1!$A:$C,2,0)</f>
        <v>770765078639</v>
      </c>
      <c r="H459" s="21">
        <v>1</v>
      </c>
      <c r="I459" s="26"/>
    </row>
    <row r="460" spans="1:9" s="13" customFormat="1" ht="35.1" customHeight="1">
      <c r="A460" s="28" t="s">
        <v>25</v>
      </c>
      <c r="B460" s="11" t="s">
        <v>410</v>
      </c>
      <c r="C460" s="12" t="s">
        <v>410</v>
      </c>
      <c r="D460" s="6" t="s">
        <v>902</v>
      </c>
      <c r="E460" s="6" t="s">
        <v>15</v>
      </c>
      <c r="F460" s="28" t="s">
        <v>66</v>
      </c>
      <c r="G460" s="18"/>
      <c r="H460" s="21">
        <v>1</v>
      </c>
      <c r="I460" s="26"/>
    </row>
    <row r="461" spans="1:9" s="13" customFormat="1" ht="35.1" customHeight="1">
      <c r="A461" s="29" t="s">
        <v>834</v>
      </c>
      <c r="B461" s="11" t="s">
        <v>410</v>
      </c>
      <c r="C461" s="12" t="s">
        <v>410</v>
      </c>
      <c r="D461" s="6" t="s">
        <v>902</v>
      </c>
      <c r="E461" s="6" t="s">
        <v>719</v>
      </c>
      <c r="F461" s="29" t="s">
        <v>834</v>
      </c>
      <c r="G461" s="18" t="str">
        <f>+VLOOKUP(F461,[1]Лист_1!$A:$C,2,0)</f>
        <v>771549709514</v>
      </c>
      <c r="H461" s="21">
        <v>1</v>
      </c>
      <c r="I461" s="26"/>
    </row>
    <row r="462" spans="1:9" s="13" customFormat="1" ht="35.1" customHeight="1">
      <c r="A462" s="29" t="s">
        <v>879</v>
      </c>
      <c r="B462" s="11" t="s">
        <v>410</v>
      </c>
      <c r="C462" s="12" t="s">
        <v>410</v>
      </c>
      <c r="D462" s="6" t="s">
        <v>902</v>
      </c>
      <c r="E462" s="6" t="s">
        <v>614</v>
      </c>
      <c r="F462" s="29" t="s">
        <v>879</v>
      </c>
      <c r="G462" s="18" t="str">
        <f>+VLOOKUP(F462,[1]Лист_1!$A:$C,2,0)</f>
        <v>711806478985</v>
      </c>
      <c r="H462" s="21">
        <v>1</v>
      </c>
      <c r="I462" s="26"/>
    </row>
    <row r="463" spans="1:9" s="13" customFormat="1" ht="35.1" customHeight="1">
      <c r="A463" s="33" t="s">
        <v>929</v>
      </c>
      <c r="B463" s="11" t="s">
        <v>410</v>
      </c>
      <c r="C463" s="12" t="s">
        <v>410</v>
      </c>
      <c r="D463" s="6" t="s">
        <v>902</v>
      </c>
      <c r="E463" s="6" t="s">
        <v>614</v>
      </c>
      <c r="F463" s="29" t="s">
        <v>929</v>
      </c>
      <c r="G463" s="18" t="str">
        <f>+VLOOKUP(F463,[1]Лист_1!$A:$C,2,0)</f>
        <v>622503167859</v>
      </c>
      <c r="H463" s="21">
        <v>1</v>
      </c>
      <c r="I463" s="26"/>
    </row>
    <row r="464" spans="1:9" s="13" customFormat="1" ht="35.1" customHeight="1">
      <c r="A464" s="29" t="s">
        <v>681</v>
      </c>
      <c r="B464" s="11" t="s">
        <v>410</v>
      </c>
      <c r="C464" s="12" t="s">
        <v>410</v>
      </c>
      <c r="D464" s="6" t="s">
        <v>902</v>
      </c>
      <c r="E464" s="6" t="s">
        <v>618</v>
      </c>
      <c r="F464" s="29" t="s">
        <v>681</v>
      </c>
      <c r="G464" s="18" t="str">
        <f>+VLOOKUP(F464,[1]Лист_1!$A:$C,2,0)</f>
        <v>772034638127</v>
      </c>
      <c r="H464" s="21">
        <v>1</v>
      </c>
      <c r="I464" s="26"/>
    </row>
    <row r="465" spans="1:9" s="13" customFormat="1" ht="35.1" customHeight="1">
      <c r="A465" s="31" t="s">
        <v>687</v>
      </c>
      <c r="B465" s="11" t="s">
        <v>410</v>
      </c>
      <c r="C465" s="12" t="s">
        <v>410</v>
      </c>
      <c r="D465" s="18" t="s">
        <v>902</v>
      </c>
      <c r="E465" s="18" t="s">
        <v>618</v>
      </c>
      <c r="F465" s="29" t="s">
        <v>687</v>
      </c>
      <c r="G465" s="18" t="str">
        <f>+VLOOKUP(F465,[1]Лист_1!$A:$C,2,0)</f>
        <v>773177080308</v>
      </c>
      <c r="H465" s="21">
        <v>1</v>
      </c>
      <c r="I465" s="26"/>
    </row>
    <row r="466" spans="1:9" s="13" customFormat="1" ht="35.1" customHeight="1">
      <c r="A466" s="29" t="s">
        <v>775</v>
      </c>
      <c r="B466" s="11" t="s">
        <v>410</v>
      </c>
      <c r="C466" s="12" t="s">
        <v>410</v>
      </c>
      <c r="D466" s="6" t="s">
        <v>403</v>
      </c>
      <c r="E466" s="6" t="s">
        <v>67</v>
      </c>
      <c r="F466" s="29" t="s">
        <v>775</v>
      </c>
      <c r="G466" s="18" t="str">
        <f>+VLOOKUP(F466,[1]Лист_1!$A:$C,2,0)</f>
        <v>381100271439</v>
      </c>
      <c r="H466" s="21">
        <v>1</v>
      </c>
      <c r="I466" s="26"/>
    </row>
    <row r="467" spans="1:9" s="13" customFormat="1" ht="35.1" customHeight="1">
      <c r="A467" s="6" t="s">
        <v>362</v>
      </c>
      <c r="B467" s="11" t="s">
        <v>410</v>
      </c>
      <c r="C467" s="12" t="s">
        <v>410</v>
      </c>
      <c r="D467" s="6" t="s">
        <v>403</v>
      </c>
      <c r="E467" s="6" t="s">
        <v>604</v>
      </c>
      <c r="F467" s="6" t="s">
        <v>362</v>
      </c>
      <c r="G467" s="18" t="str">
        <f>+VLOOKUP(F467,[1]Лист_1!$A:$C,2,0)</f>
        <v>772504078860</v>
      </c>
      <c r="H467" s="21">
        <v>0.3</v>
      </c>
      <c r="I467" s="26"/>
    </row>
    <row r="468" spans="1:9" s="13" customFormat="1" ht="35.1" customHeight="1">
      <c r="A468" s="29" t="s">
        <v>861</v>
      </c>
      <c r="B468" s="11" t="s">
        <v>410</v>
      </c>
      <c r="C468" s="12" t="s">
        <v>968</v>
      </c>
      <c r="D468" s="6" t="s">
        <v>403</v>
      </c>
      <c r="E468" s="6" t="s">
        <v>604</v>
      </c>
      <c r="F468" s="29" t="s">
        <v>671</v>
      </c>
      <c r="G468" s="48" t="s">
        <v>963</v>
      </c>
      <c r="H468" s="21">
        <v>0.7</v>
      </c>
      <c r="I468" s="26"/>
    </row>
    <row r="469" spans="1:9" s="13" customFormat="1" ht="35.1" customHeight="1">
      <c r="A469" s="29" t="s">
        <v>832</v>
      </c>
      <c r="B469" s="11" t="s">
        <v>410</v>
      </c>
      <c r="C469" s="12" t="s">
        <v>410</v>
      </c>
      <c r="D469" s="6" t="s">
        <v>306</v>
      </c>
      <c r="E469" s="6" t="s">
        <v>304</v>
      </c>
      <c r="F469" s="29" t="s">
        <v>832</v>
      </c>
      <c r="G469" s="18" t="str">
        <f>+VLOOKUP(F469,[1]Лист_1!$A:$C,2,0)</f>
        <v>771872744846</v>
      </c>
      <c r="H469" s="21">
        <v>1</v>
      </c>
      <c r="I469" s="26"/>
    </row>
    <row r="470" spans="1:9" s="13" customFormat="1" ht="43.5" customHeight="1">
      <c r="A470" s="29" t="s">
        <v>851</v>
      </c>
      <c r="B470" s="11" t="s">
        <v>410</v>
      </c>
      <c r="C470" s="12" t="s">
        <v>410</v>
      </c>
      <c r="D470" s="6" t="s">
        <v>306</v>
      </c>
      <c r="E470" s="6" t="s">
        <v>616</v>
      </c>
      <c r="F470" s="29" t="s">
        <v>851</v>
      </c>
      <c r="G470" s="18" t="str">
        <f>+VLOOKUP(F470,[1]Лист_1!$A:$C,2,0)</f>
        <v>771989280723</v>
      </c>
      <c r="H470" s="21">
        <v>1</v>
      </c>
      <c r="I470" s="26"/>
    </row>
    <row r="471" spans="1:9" s="13" customFormat="1" ht="35.1" customHeight="1">
      <c r="A471" s="6" t="s">
        <v>790</v>
      </c>
      <c r="B471" s="11" t="s">
        <v>410</v>
      </c>
      <c r="C471" s="12" t="s">
        <v>410</v>
      </c>
      <c r="D471" s="6" t="s">
        <v>306</v>
      </c>
      <c r="E471" s="6" t="s">
        <v>616</v>
      </c>
      <c r="F471" s="6" t="s">
        <v>790</v>
      </c>
      <c r="G471" s="18" t="str">
        <f>+VLOOKUP(F471,[1]Лист_1!$A:$C,2,0)</f>
        <v>560711180401</v>
      </c>
      <c r="H471" s="21">
        <v>1</v>
      </c>
      <c r="I471" s="26"/>
    </row>
    <row r="472" spans="1:9" s="13" customFormat="1" ht="35.1" customHeight="1">
      <c r="A472" s="6" t="s">
        <v>365</v>
      </c>
      <c r="B472" s="11" t="s">
        <v>410</v>
      </c>
      <c r="C472" s="12" t="s">
        <v>410</v>
      </c>
      <c r="D472" s="6" t="s">
        <v>306</v>
      </c>
      <c r="E472" s="6" t="s">
        <v>616</v>
      </c>
      <c r="F472" s="6" t="s">
        <v>365</v>
      </c>
      <c r="G472" s="18" t="str">
        <f>+VLOOKUP(F472,[1]Лист_1!$A:$C,2,0)</f>
        <v>772570406698</v>
      </c>
      <c r="H472" s="21">
        <v>1</v>
      </c>
      <c r="I472" s="26"/>
    </row>
    <row r="473" spans="1:9" s="13" customFormat="1" ht="35.1" customHeight="1">
      <c r="A473" s="6" t="s">
        <v>364</v>
      </c>
      <c r="B473" s="11" t="s">
        <v>410</v>
      </c>
      <c r="C473" s="12" t="s">
        <v>410</v>
      </c>
      <c r="D473" s="6" t="s">
        <v>306</v>
      </c>
      <c r="E473" s="6" t="s">
        <v>618</v>
      </c>
      <c r="F473" s="6" t="s">
        <v>364</v>
      </c>
      <c r="G473" s="18" t="str">
        <f>+VLOOKUP(F473,[1]Лист_1!$A:$C,2,0)</f>
        <v>502504164904</v>
      </c>
      <c r="H473" s="21">
        <v>1</v>
      </c>
      <c r="I473" s="26"/>
    </row>
    <row r="474" spans="1:9" s="13" customFormat="1" ht="35.1" customHeight="1">
      <c r="A474" s="6" t="s">
        <v>363</v>
      </c>
      <c r="B474" s="11" t="s">
        <v>410</v>
      </c>
      <c r="C474" s="12" t="s">
        <v>410</v>
      </c>
      <c r="D474" s="6" t="s">
        <v>306</v>
      </c>
      <c r="E474" s="6" t="s">
        <v>618</v>
      </c>
      <c r="F474" s="6" t="s">
        <v>363</v>
      </c>
      <c r="G474" s="18" t="str">
        <f>+VLOOKUP(F474,[1]Лист_1!$A:$C,2,0)</f>
        <v>502498899908</v>
      </c>
      <c r="H474" s="21">
        <v>1</v>
      </c>
      <c r="I474" s="26"/>
    </row>
    <row r="475" spans="1:9" s="13" customFormat="1" ht="35.1" customHeight="1">
      <c r="A475" s="6" t="s">
        <v>823</v>
      </c>
      <c r="B475" s="11" t="s">
        <v>410</v>
      </c>
      <c r="C475" s="12" t="s">
        <v>410</v>
      </c>
      <c r="D475" s="6" t="s">
        <v>306</v>
      </c>
      <c r="E475" s="6" t="s">
        <v>618</v>
      </c>
      <c r="F475" s="6" t="s">
        <v>823</v>
      </c>
      <c r="G475" s="18" t="str">
        <f>+VLOOKUP(F475,[1]Лист_1!$A:$C,2,0)</f>
        <v>245722940839</v>
      </c>
      <c r="H475" s="21">
        <v>1</v>
      </c>
      <c r="I475" s="26"/>
    </row>
    <row r="476" spans="1:9" s="13" customFormat="1" ht="35.1" customHeight="1">
      <c r="A476" s="28" t="s">
        <v>25</v>
      </c>
      <c r="B476" s="11" t="s">
        <v>410</v>
      </c>
      <c r="C476" s="12" t="s">
        <v>410</v>
      </c>
      <c r="D476" s="6" t="s">
        <v>307</v>
      </c>
      <c r="E476" s="6" t="s">
        <v>14</v>
      </c>
      <c r="F476" s="28" t="s">
        <v>66</v>
      </c>
      <c r="G476" s="18"/>
      <c r="H476" s="21">
        <v>1</v>
      </c>
      <c r="I476" s="26"/>
    </row>
    <row r="477" spans="1:9" s="13" customFormat="1" ht="35.1" customHeight="1">
      <c r="A477" s="6" t="s">
        <v>366</v>
      </c>
      <c r="B477" s="11" t="s">
        <v>410</v>
      </c>
      <c r="C477" s="12" t="s">
        <v>410</v>
      </c>
      <c r="D477" s="6" t="s">
        <v>307</v>
      </c>
      <c r="E477" s="6" t="s">
        <v>15</v>
      </c>
      <c r="F477" s="6" t="s">
        <v>366</v>
      </c>
      <c r="G477" s="18" t="str">
        <f>+VLOOKUP(F477,[1]Лист_1!$A:$C,2,0)</f>
        <v>771574264298</v>
      </c>
      <c r="H477" s="21">
        <v>0</v>
      </c>
      <c r="I477" s="26"/>
    </row>
    <row r="478" spans="1:9" s="13" customFormat="1" ht="35.1" customHeight="1">
      <c r="A478" s="6" t="s">
        <v>367</v>
      </c>
      <c r="B478" s="11" t="s">
        <v>410</v>
      </c>
      <c r="C478" s="12" t="s">
        <v>410</v>
      </c>
      <c r="D478" s="6" t="s">
        <v>307</v>
      </c>
      <c r="E478" s="6" t="s">
        <v>15</v>
      </c>
      <c r="F478" s="6" t="s">
        <v>367</v>
      </c>
      <c r="G478" s="18" t="str">
        <f>+VLOOKUP(F478,[1]Лист_1!$A:$C,2,0)</f>
        <v>500121456698</v>
      </c>
      <c r="H478" s="21">
        <v>1</v>
      </c>
      <c r="I478" s="26"/>
    </row>
    <row r="479" spans="1:9" s="13" customFormat="1" ht="35.1" customHeight="1">
      <c r="A479" s="29" t="s">
        <v>944</v>
      </c>
      <c r="B479" s="11" t="s">
        <v>410</v>
      </c>
      <c r="C479" s="12" t="s">
        <v>410</v>
      </c>
      <c r="D479" s="6" t="s">
        <v>307</v>
      </c>
      <c r="E479" s="6" t="s">
        <v>720</v>
      </c>
      <c r="F479" s="29" t="s">
        <v>944</v>
      </c>
      <c r="G479" s="18" t="str">
        <f>+VLOOKUP(F479,[1]Лист_1!$A:$C,2,0)</f>
        <v>212422425896</v>
      </c>
      <c r="H479" s="21">
        <v>1</v>
      </c>
      <c r="I479" s="26"/>
    </row>
    <row r="480" spans="1:9" s="13" customFormat="1" ht="35.1" customHeight="1">
      <c r="A480" s="6" t="s">
        <v>368</v>
      </c>
      <c r="B480" s="11" t="s">
        <v>410</v>
      </c>
      <c r="C480" s="12" t="s">
        <v>410</v>
      </c>
      <c r="D480" s="6" t="s">
        <v>404</v>
      </c>
      <c r="E480" s="6" t="s">
        <v>14</v>
      </c>
      <c r="F480" s="6" t="s">
        <v>368</v>
      </c>
      <c r="G480" s="18" t="str">
        <f>+VLOOKUP(F480,[1]Лист_1!$A:$C,2,0)</f>
        <v>165056657020</v>
      </c>
      <c r="H480" s="21">
        <v>1</v>
      </c>
      <c r="I480" s="26"/>
    </row>
    <row r="481" spans="1:9" s="13" customFormat="1" ht="35.1" customHeight="1">
      <c r="A481" s="6" t="s">
        <v>374</v>
      </c>
      <c r="B481" s="11" t="s">
        <v>410</v>
      </c>
      <c r="C481" s="12" t="s">
        <v>410</v>
      </c>
      <c r="D481" s="6" t="s">
        <v>404</v>
      </c>
      <c r="E481" s="6" t="s">
        <v>15</v>
      </c>
      <c r="F481" s="6" t="s">
        <v>374</v>
      </c>
      <c r="G481" s="18" t="str">
        <f>+VLOOKUP(F481,[1]Лист_1!$A:$C,2,0)</f>
        <v>772167963687</v>
      </c>
      <c r="H481" s="21">
        <v>1</v>
      </c>
      <c r="I481" s="26"/>
    </row>
    <row r="482" spans="1:9" s="13" customFormat="1" ht="35.1" customHeight="1">
      <c r="A482" s="6" t="s">
        <v>370</v>
      </c>
      <c r="B482" s="11" t="s">
        <v>410</v>
      </c>
      <c r="C482" s="12" t="s">
        <v>410</v>
      </c>
      <c r="D482" s="6" t="s">
        <v>404</v>
      </c>
      <c r="E482" s="6" t="s">
        <v>717</v>
      </c>
      <c r="F482" s="6" t="s">
        <v>370</v>
      </c>
      <c r="G482" s="18" t="str">
        <f>+VLOOKUP(F482,[1]Лист_1!$A:$C,2,0)</f>
        <v>165125707557</v>
      </c>
      <c r="H482" s="21">
        <v>1</v>
      </c>
      <c r="I482" s="26"/>
    </row>
    <row r="483" spans="1:9" s="13" customFormat="1" ht="35.1" customHeight="1">
      <c r="A483" s="6" t="s">
        <v>670</v>
      </c>
      <c r="B483" s="11" t="s">
        <v>410</v>
      </c>
      <c r="C483" s="12" t="s">
        <v>410</v>
      </c>
      <c r="D483" s="6" t="s">
        <v>404</v>
      </c>
      <c r="E483" s="6" t="s">
        <v>717</v>
      </c>
      <c r="F483" s="6" t="s">
        <v>670</v>
      </c>
      <c r="G483" s="18" t="str">
        <f>+VLOOKUP(F483,[1]Лист_1!$A:$C,2,0)</f>
        <v>616809609752</v>
      </c>
      <c r="H483" s="21">
        <v>1</v>
      </c>
      <c r="I483" s="26"/>
    </row>
    <row r="484" spans="1:9" s="13" customFormat="1" ht="35.1" customHeight="1">
      <c r="A484" s="6" t="s">
        <v>371</v>
      </c>
      <c r="B484" s="11" t="s">
        <v>410</v>
      </c>
      <c r="C484" s="12" t="s">
        <v>410</v>
      </c>
      <c r="D484" s="6" t="s">
        <v>404</v>
      </c>
      <c r="E484" s="6" t="s">
        <v>717</v>
      </c>
      <c r="F484" s="6" t="s">
        <v>371</v>
      </c>
      <c r="G484" s="18" t="str">
        <f>+VLOOKUP(F484,[1]Лист_1!$A:$C,2,0)</f>
        <v>772153681763</v>
      </c>
      <c r="H484" s="21">
        <v>1</v>
      </c>
      <c r="I484" s="26"/>
    </row>
    <row r="485" spans="1:9" s="13" customFormat="1" ht="35.1" customHeight="1">
      <c r="A485" s="29" t="s">
        <v>664</v>
      </c>
      <c r="B485" s="11" t="s">
        <v>410</v>
      </c>
      <c r="C485" s="12" t="s">
        <v>410</v>
      </c>
      <c r="D485" s="6" t="s">
        <v>404</v>
      </c>
      <c r="E485" s="6" t="s">
        <v>717</v>
      </c>
      <c r="F485" s="29" t="s">
        <v>664</v>
      </c>
      <c r="G485" s="18" t="str">
        <f>+VLOOKUP(F485,[1]Лист_1!$A:$C,2,0)</f>
        <v>770908147072</v>
      </c>
      <c r="H485" s="21">
        <v>1</v>
      </c>
      <c r="I485" s="26"/>
    </row>
    <row r="486" spans="1:9" s="13" customFormat="1" ht="35.1" customHeight="1">
      <c r="A486" s="6" t="s">
        <v>671</v>
      </c>
      <c r="B486" s="11" t="s">
        <v>410</v>
      </c>
      <c r="C486" s="12" t="s">
        <v>410</v>
      </c>
      <c r="D486" s="6" t="s">
        <v>404</v>
      </c>
      <c r="E486" s="6" t="s">
        <v>717</v>
      </c>
      <c r="F486" s="28" t="s">
        <v>66</v>
      </c>
      <c r="G486" s="18"/>
      <c r="H486" s="21">
        <v>1</v>
      </c>
      <c r="I486" s="26"/>
    </row>
    <row r="487" spans="1:9" s="13" customFormat="1" ht="35.1" customHeight="1">
      <c r="A487" s="6" t="s">
        <v>369</v>
      </c>
      <c r="B487" s="11" t="s">
        <v>410</v>
      </c>
      <c r="C487" s="12" t="s">
        <v>410</v>
      </c>
      <c r="D487" s="6" t="s">
        <v>404</v>
      </c>
      <c r="E487" s="6" t="s">
        <v>137</v>
      </c>
      <c r="F487" s="6" t="s">
        <v>369</v>
      </c>
      <c r="G487" s="18" t="str">
        <f>+VLOOKUP(F487,[1]Лист_1!$A:$C,2,0)</f>
        <v>590318063740</v>
      </c>
      <c r="H487" s="21">
        <v>1</v>
      </c>
      <c r="I487" s="26"/>
    </row>
    <row r="488" spans="1:9" s="13" customFormat="1" ht="35.1" customHeight="1">
      <c r="A488" s="6" t="s">
        <v>372</v>
      </c>
      <c r="B488" s="11" t="s">
        <v>410</v>
      </c>
      <c r="C488" s="12" t="s">
        <v>410</v>
      </c>
      <c r="D488" s="6" t="s">
        <v>404</v>
      </c>
      <c r="E488" s="6" t="s">
        <v>137</v>
      </c>
      <c r="F488" s="6" t="s">
        <v>372</v>
      </c>
      <c r="G488" s="18" t="str">
        <f>+VLOOKUP(F488,[1]Лист_1!$A:$C,2,0)</f>
        <v>330574446613</v>
      </c>
      <c r="H488" s="21">
        <v>1</v>
      </c>
      <c r="I488" s="26"/>
    </row>
    <row r="489" spans="1:9" s="13" customFormat="1" ht="35.1" customHeight="1">
      <c r="A489" s="6" t="s">
        <v>378</v>
      </c>
      <c r="B489" s="11" t="s">
        <v>410</v>
      </c>
      <c r="C489" s="12" t="s">
        <v>410</v>
      </c>
      <c r="D489" s="6" t="s">
        <v>405</v>
      </c>
      <c r="E489" s="6" t="s">
        <v>14</v>
      </c>
      <c r="F489" s="6" t="s">
        <v>378</v>
      </c>
      <c r="G489" s="18" t="str">
        <f>+VLOOKUP(F489,[1]Лист_1!$A:$C,2,0)</f>
        <v>771574650800</v>
      </c>
      <c r="H489" s="21">
        <v>1</v>
      </c>
      <c r="I489" s="26"/>
    </row>
    <row r="490" spans="1:9" s="13" customFormat="1" ht="35.1" customHeight="1">
      <c r="A490" s="6" t="s">
        <v>380</v>
      </c>
      <c r="B490" s="11" t="s">
        <v>410</v>
      </c>
      <c r="C490" s="12" t="s">
        <v>410</v>
      </c>
      <c r="D490" s="6" t="s">
        <v>405</v>
      </c>
      <c r="E490" s="6" t="s">
        <v>15</v>
      </c>
      <c r="F490" s="6" t="s">
        <v>380</v>
      </c>
      <c r="G490" s="18" t="str">
        <f>+VLOOKUP(F490,[1]Лист_1!$A:$C,2,0)</f>
        <v>352831001600</v>
      </c>
      <c r="H490" s="21">
        <v>1</v>
      </c>
      <c r="I490" s="26"/>
    </row>
    <row r="491" spans="1:9" s="13" customFormat="1" ht="35.1" customHeight="1">
      <c r="A491" s="6" t="s">
        <v>383</v>
      </c>
      <c r="B491" s="11" t="s">
        <v>410</v>
      </c>
      <c r="C491" s="12" t="s">
        <v>410</v>
      </c>
      <c r="D491" s="6" t="s">
        <v>405</v>
      </c>
      <c r="E491" s="6" t="s">
        <v>15</v>
      </c>
      <c r="F491" s="6" t="s">
        <v>383</v>
      </c>
      <c r="G491" s="18" t="str">
        <f>+VLOOKUP(F491,[1]Лист_1!$A:$C,2,0)</f>
        <v>771517503302</v>
      </c>
      <c r="H491" s="21">
        <v>1</v>
      </c>
      <c r="I491" s="26"/>
    </row>
    <row r="492" spans="1:9" s="13" customFormat="1" ht="35.1" customHeight="1">
      <c r="A492" s="6" t="s">
        <v>381</v>
      </c>
      <c r="B492" s="11" t="s">
        <v>410</v>
      </c>
      <c r="C492" s="12" t="s">
        <v>410</v>
      </c>
      <c r="D492" s="6" t="s">
        <v>405</v>
      </c>
      <c r="E492" s="6" t="s">
        <v>614</v>
      </c>
      <c r="F492" s="6" t="s">
        <v>381</v>
      </c>
      <c r="G492" s="18" t="str">
        <f>+VLOOKUP(F492,[1]Лист_1!$A:$C,2,0)</f>
        <v>773211517534</v>
      </c>
      <c r="H492" s="21">
        <v>1</v>
      </c>
      <c r="I492" s="26"/>
    </row>
    <row r="493" spans="1:9" s="13" customFormat="1" ht="35.1" customHeight="1">
      <c r="A493" s="6" t="s">
        <v>382</v>
      </c>
      <c r="B493" s="11" t="s">
        <v>410</v>
      </c>
      <c r="C493" s="12" t="s">
        <v>410</v>
      </c>
      <c r="D493" s="6" t="s">
        <v>405</v>
      </c>
      <c r="E493" s="6" t="s">
        <v>614</v>
      </c>
      <c r="F493" s="6" t="s">
        <v>382</v>
      </c>
      <c r="G493" s="18" t="str">
        <f>+VLOOKUP(F493,[1]Лист_1!$A:$C,2,0)</f>
        <v>381205129101</v>
      </c>
      <c r="H493" s="21">
        <v>1</v>
      </c>
      <c r="I493" s="26"/>
    </row>
    <row r="494" spans="1:9" s="13" customFormat="1" ht="35.1" customHeight="1">
      <c r="A494" s="34" t="s">
        <v>812</v>
      </c>
      <c r="B494" s="11" t="s">
        <v>410</v>
      </c>
      <c r="C494" s="12" t="s">
        <v>410</v>
      </c>
      <c r="D494" s="6" t="s">
        <v>405</v>
      </c>
      <c r="E494" s="6" t="s">
        <v>614</v>
      </c>
      <c r="F494" s="34" t="s">
        <v>812</v>
      </c>
      <c r="G494" s="18" t="str">
        <f>+VLOOKUP(F494,[1]Лист_1!$A:$C,2,0)</f>
        <v>505010964712</v>
      </c>
      <c r="H494" s="21">
        <v>1</v>
      </c>
      <c r="I494" s="26"/>
    </row>
    <row r="495" spans="1:9" s="13" customFormat="1" ht="35.1" customHeight="1">
      <c r="A495" s="35" t="s">
        <v>25</v>
      </c>
      <c r="B495" s="11" t="s">
        <v>410</v>
      </c>
      <c r="C495" s="12" t="s">
        <v>410</v>
      </c>
      <c r="D495" s="6" t="s">
        <v>405</v>
      </c>
      <c r="E495" s="6" t="s">
        <v>614</v>
      </c>
      <c r="F495" s="28" t="s">
        <v>66</v>
      </c>
      <c r="G495" s="18"/>
      <c r="H495" s="21">
        <v>1</v>
      </c>
      <c r="I495" s="26"/>
    </row>
    <row r="496" spans="1:9" s="13" customFormat="1" ht="35.1" customHeight="1">
      <c r="A496" s="6" t="s">
        <v>385</v>
      </c>
      <c r="B496" s="11" t="s">
        <v>410</v>
      </c>
      <c r="C496" s="12" t="s">
        <v>410</v>
      </c>
      <c r="D496" s="6" t="s">
        <v>405</v>
      </c>
      <c r="E496" s="6" t="s">
        <v>721</v>
      </c>
      <c r="F496" s="6" t="s">
        <v>385</v>
      </c>
      <c r="G496" s="18" t="str">
        <f>+VLOOKUP(F496,[1]Лист_1!$A:$C,2,0)</f>
        <v>481802300891</v>
      </c>
      <c r="H496" s="21">
        <v>1</v>
      </c>
      <c r="I496" s="26"/>
    </row>
    <row r="497" spans="1:9" s="13" customFormat="1" ht="35.1" customHeight="1">
      <c r="A497" s="6" t="s">
        <v>386</v>
      </c>
      <c r="B497" s="11" t="s">
        <v>410</v>
      </c>
      <c r="C497" s="12" t="s">
        <v>410</v>
      </c>
      <c r="D497" s="6" t="s">
        <v>405</v>
      </c>
      <c r="E497" s="6" t="s">
        <v>721</v>
      </c>
      <c r="F497" s="6" t="s">
        <v>386</v>
      </c>
      <c r="G497" s="18" t="str">
        <f>+VLOOKUP(F497,[1]Лист_1!$A:$C,2,0)</f>
        <v>773376984604</v>
      </c>
      <c r="H497" s="21">
        <v>1</v>
      </c>
      <c r="I497" s="26"/>
    </row>
    <row r="498" spans="1:9" s="13" customFormat="1" ht="35.1" customHeight="1">
      <c r="A498" s="6" t="s">
        <v>763</v>
      </c>
      <c r="B498" s="11" t="s">
        <v>410</v>
      </c>
      <c r="C498" s="12" t="s">
        <v>410</v>
      </c>
      <c r="D498" s="6" t="s">
        <v>405</v>
      </c>
      <c r="E498" s="6" t="s">
        <v>721</v>
      </c>
      <c r="F498" s="6" t="s">
        <v>763</v>
      </c>
      <c r="G498" s="18" t="str">
        <f>+VLOOKUP(F498,[1]Лист_1!$A:$C,2,0)</f>
        <v>132812000754</v>
      </c>
      <c r="H498" s="21">
        <v>1</v>
      </c>
      <c r="I498" s="26"/>
    </row>
    <row r="499" spans="1:9" s="13" customFormat="1" ht="35.1" customHeight="1">
      <c r="A499" s="6" t="s">
        <v>376</v>
      </c>
      <c r="B499" s="11" t="s">
        <v>410</v>
      </c>
      <c r="C499" s="12" t="s">
        <v>410</v>
      </c>
      <c r="D499" s="6" t="s">
        <v>405</v>
      </c>
      <c r="E499" s="6" t="s">
        <v>137</v>
      </c>
      <c r="F499" s="6" t="s">
        <v>376</v>
      </c>
      <c r="G499" s="18" t="str">
        <f>+VLOOKUP(F499,[1]Лист_1!$A:$C,2,0)</f>
        <v>260204280060</v>
      </c>
      <c r="H499" s="21">
        <v>1</v>
      </c>
      <c r="I499" s="26"/>
    </row>
    <row r="500" spans="1:9" s="13" customFormat="1" ht="35.1" customHeight="1">
      <c r="A500" s="6" t="s">
        <v>377</v>
      </c>
      <c r="B500" s="11" t="s">
        <v>410</v>
      </c>
      <c r="C500" s="12" t="s">
        <v>410</v>
      </c>
      <c r="D500" s="6" t="s">
        <v>405</v>
      </c>
      <c r="E500" s="6" t="s">
        <v>137</v>
      </c>
      <c r="F500" s="6" t="s">
        <v>377</v>
      </c>
      <c r="G500" s="18" t="str">
        <f>+VLOOKUP(F500,[1]Лист_1!$A:$C,2,0)</f>
        <v>503111653420</v>
      </c>
      <c r="H500" s="21">
        <v>1</v>
      </c>
      <c r="I500" s="26"/>
    </row>
    <row r="501" spans="1:9" s="13" customFormat="1" ht="35.1" customHeight="1">
      <c r="A501" s="6" t="s">
        <v>379</v>
      </c>
      <c r="B501" s="11" t="s">
        <v>410</v>
      </c>
      <c r="C501" s="12" t="s">
        <v>410</v>
      </c>
      <c r="D501" s="6" t="s">
        <v>405</v>
      </c>
      <c r="E501" s="6" t="s">
        <v>137</v>
      </c>
      <c r="F501" s="6" t="s">
        <v>379</v>
      </c>
      <c r="G501" s="18" t="str">
        <f>+VLOOKUP(F501,[1]Лист_1!$A:$C,2,0)</f>
        <v>772830268227</v>
      </c>
      <c r="H501" s="21">
        <v>1</v>
      </c>
      <c r="I501" s="26"/>
    </row>
    <row r="502" spans="1:9" s="13" customFormat="1" ht="34.35" customHeight="1">
      <c r="A502" s="6" t="s">
        <v>880</v>
      </c>
      <c r="B502" s="11" t="s">
        <v>410</v>
      </c>
      <c r="C502" s="12" t="s">
        <v>968</v>
      </c>
      <c r="D502" s="6" t="s">
        <v>409</v>
      </c>
      <c r="E502" s="6" t="s">
        <v>14</v>
      </c>
      <c r="F502" s="6" t="s">
        <v>880</v>
      </c>
      <c r="G502" s="18" t="str">
        <f>+VLOOKUP(F502,[1]Лист_1!$A:$C,2,0)</f>
        <v>760402960921</v>
      </c>
      <c r="H502" s="21">
        <v>1</v>
      </c>
      <c r="I502" s="26"/>
    </row>
    <row r="503" spans="1:9" s="13" customFormat="1" ht="35.1" customHeight="1">
      <c r="A503" s="6" t="s">
        <v>375</v>
      </c>
      <c r="B503" s="11" t="s">
        <v>410</v>
      </c>
      <c r="C503" s="12" t="s">
        <v>410</v>
      </c>
      <c r="D503" s="6" t="s">
        <v>409</v>
      </c>
      <c r="E503" s="6" t="s">
        <v>15</v>
      </c>
      <c r="F503" s="6" t="s">
        <v>375</v>
      </c>
      <c r="G503" s="18" t="str">
        <f>+VLOOKUP(F503,[1]Лист_1!$A:$C,2,0)</f>
        <v>772834085898</v>
      </c>
      <c r="H503" s="21">
        <v>1</v>
      </c>
      <c r="I503" s="26"/>
    </row>
    <row r="504" spans="1:9" s="13" customFormat="1" ht="35.1" customHeight="1">
      <c r="A504" s="6" t="s">
        <v>373</v>
      </c>
      <c r="B504" s="11" t="s">
        <v>410</v>
      </c>
      <c r="C504" s="12" t="s">
        <v>410</v>
      </c>
      <c r="D504" s="6" t="s">
        <v>409</v>
      </c>
      <c r="E504" s="6" t="s">
        <v>614</v>
      </c>
      <c r="F504" s="6" t="s">
        <v>373</v>
      </c>
      <c r="G504" s="18" t="str">
        <f>+VLOOKUP(F504,[1]Лист_1!$A:$C,2,0)</f>
        <v>772792128723</v>
      </c>
      <c r="H504" s="21">
        <v>1</v>
      </c>
      <c r="I504" s="26"/>
    </row>
    <row r="505" spans="1:9" s="13" customFormat="1" ht="35.1" customHeight="1">
      <c r="A505" s="6" t="s">
        <v>843</v>
      </c>
      <c r="B505" s="11" t="s">
        <v>410</v>
      </c>
      <c r="C505" s="12" t="s">
        <v>410</v>
      </c>
      <c r="D505" s="6" t="s">
        <v>409</v>
      </c>
      <c r="E505" s="6" t="s">
        <v>724</v>
      </c>
      <c r="F505" s="6" t="s">
        <v>843</v>
      </c>
      <c r="G505" s="18" t="str">
        <f>+VLOOKUP(F505,[1]Лист_1!$A:$C,2,0)</f>
        <v>772473499626</v>
      </c>
      <c r="H505" s="21">
        <v>1</v>
      </c>
      <c r="I505" s="26"/>
    </row>
    <row r="506" spans="1:9" s="13" customFormat="1" ht="35.1" customHeight="1">
      <c r="A506" s="6" t="s">
        <v>946</v>
      </c>
      <c r="B506" s="11" t="s">
        <v>410</v>
      </c>
      <c r="C506" s="12" t="s">
        <v>410</v>
      </c>
      <c r="D506" s="6" t="s">
        <v>409</v>
      </c>
      <c r="E506" s="6" t="s">
        <v>724</v>
      </c>
      <c r="F506" s="29" t="s">
        <v>955</v>
      </c>
      <c r="G506" s="46">
        <v>771775221914</v>
      </c>
      <c r="H506" s="21">
        <v>1</v>
      </c>
      <c r="I506" s="26"/>
    </row>
    <row r="507" spans="1:9" s="13" customFormat="1" ht="35.1" customHeight="1">
      <c r="A507" s="6" t="s">
        <v>388</v>
      </c>
      <c r="B507" s="11" t="s">
        <v>410</v>
      </c>
      <c r="C507" s="12" t="s">
        <v>410</v>
      </c>
      <c r="D507" s="6" t="s">
        <v>901</v>
      </c>
      <c r="E507" s="6" t="s">
        <v>67</v>
      </c>
      <c r="F507" s="6" t="s">
        <v>388</v>
      </c>
      <c r="G507" s="18" t="str">
        <f>+VLOOKUP(F507,[1]Лист_1!$A:$C,2,0)</f>
        <v>772778741977</v>
      </c>
      <c r="H507" s="21">
        <v>1</v>
      </c>
      <c r="I507" s="26"/>
    </row>
    <row r="508" spans="1:9" s="13" customFormat="1" ht="35.1" customHeight="1">
      <c r="A508" s="42" t="s">
        <v>940</v>
      </c>
      <c r="B508" s="11" t="s">
        <v>410</v>
      </c>
      <c r="C508" s="12" t="s">
        <v>410</v>
      </c>
      <c r="D508" s="6" t="s">
        <v>406</v>
      </c>
      <c r="E508" s="6" t="s">
        <v>14</v>
      </c>
      <c r="F508" s="42" t="s">
        <v>940</v>
      </c>
      <c r="G508" s="18" t="str">
        <f>+VLOOKUP(F508,[1]Лист_1!$A:$C,2,0)</f>
        <v>772611178362</v>
      </c>
      <c r="H508" s="21">
        <v>1</v>
      </c>
      <c r="I508" s="26"/>
    </row>
    <row r="509" spans="1:9" s="13" customFormat="1" ht="35.1" customHeight="1">
      <c r="A509" s="6" t="s">
        <v>387</v>
      </c>
      <c r="B509" s="11" t="s">
        <v>410</v>
      </c>
      <c r="C509" s="12" t="s">
        <v>410</v>
      </c>
      <c r="D509" s="6" t="s">
        <v>406</v>
      </c>
      <c r="E509" s="6" t="s">
        <v>15</v>
      </c>
      <c r="F509" s="6" t="s">
        <v>387</v>
      </c>
      <c r="G509" s="18" t="str">
        <f>+VLOOKUP(F509,[1]Лист_1!$A:$C,2,0)</f>
        <v>232805787389</v>
      </c>
      <c r="H509" s="21">
        <v>1</v>
      </c>
      <c r="I509" s="26"/>
    </row>
    <row r="510" spans="1:9" s="13" customFormat="1" ht="35.1" customHeight="1">
      <c r="A510" s="6" t="s">
        <v>392</v>
      </c>
      <c r="B510" s="11" t="s">
        <v>410</v>
      </c>
      <c r="C510" s="12" t="s">
        <v>410</v>
      </c>
      <c r="D510" s="6" t="s">
        <v>406</v>
      </c>
      <c r="E510" s="6" t="s">
        <v>15</v>
      </c>
      <c r="F510" s="6" t="s">
        <v>392</v>
      </c>
      <c r="G510" s="18" t="str">
        <f>+VLOOKUP(F510,[1]Лист_1!$A:$C,2,0)</f>
        <v>770505980700</v>
      </c>
      <c r="H510" s="21">
        <v>1</v>
      </c>
      <c r="I510" s="26"/>
    </row>
    <row r="511" spans="1:9" s="13" customFormat="1" ht="35.1" customHeight="1">
      <c r="A511" s="6" t="s">
        <v>402</v>
      </c>
      <c r="B511" s="11" t="s">
        <v>410</v>
      </c>
      <c r="C511" s="12" t="s">
        <v>410</v>
      </c>
      <c r="D511" s="6" t="s">
        <v>406</v>
      </c>
      <c r="E511" s="6" t="s">
        <v>614</v>
      </c>
      <c r="F511" s="6" t="s">
        <v>402</v>
      </c>
      <c r="G511" s="18" t="str">
        <f>+VLOOKUP(F511,[1]Лист_1!$A:$C,2,0)</f>
        <v>773389119170</v>
      </c>
      <c r="H511" s="21">
        <v>1</v>
      </c>
      <c r="I511" s="26"/>
    </row>
    <row r="512" spans="1:9" s="13" customFormat="1" ht="35.1" customHeight="1">
      <c r="A512" s="6" t="s">
        <v>400</v>
      </c>
      <c r="B512" s="11" t="s">
        <v>410</v>
      </c>
      <c r="C512" s="12" t="s">
        <v>410</v>
      </c>
      <c r="D512" s="6" t="s">
        <v>406</v>
      </c>
      <c r="E512" s="6" t="s">
        <v>614</v>
      </c>
      <c r="F512" s="6" t="s">
        <v>400</v>
      </c>
      <c r="G512" s="18" t="str">
        <f>+VLOOKUP(F512,[1]Лист_1!$A:$C,2,0)</f>
        <v>772169035170</v>
      </c>
      <c r="H512" s="21">
        <v>1</v>
      </c>
      <c r="I512" s="26"/>
    </row>
    <row r="513" spans="1:9" s="13" customFormat="1" ht="35.1" customHeight="1">
      <c r="A513" s="6" t="s">
        <v>396</v>
      </c>
      <c r="B513" s="11" t="s">
        <v>410</v>
      </c>
      <c r="C513" s="12" t="s">
        <v>410</v>
      </c>
      <c r="D513" s="6" t="s">
        <v>406</v>
      </c>
      <c r="E513" s="6" t="s">
        <v>614</v>
      </c>
      <c r="F513" s="6" t="s">
        <v>396</v>
      </c>
      <c r="G513" s="18" t="str">
        <f>+VLOOKUP(F513,[1]Лист_1!$A:$C,2,0)</f>
        <v>236404741419</v>
      </c>
      <c r="H513" s="21">
        <v>1</v>
      </c>
      <c r="I513" s="26"/>
    </row>
    <row r="514" spans="1:9" s="13" customFormat="1" ht="35.1" customHeight="1">
      <c r="A514" s="6" t="s">
        <v>391</v>
      </c>
      <c r="B514" s="11" t="s">
        <v>410</v>
      </c>
      <c r="C514" s="12" t="s">
        <v>410</v>
      </c>
      <c r="D514" s="6" t="s">
        <v>406</v>
      </c>
      <c r="E514" s="6" t="s">
        <v>628</v>
      </c>
      <c r="F514" s="6" t="s">
        <v>391</v>
      </c>
      <c r="G514" s="18" t="str">
        <f>+VLOOKUP(F514,[1]Лист_1!$A:$C,2,0)</f>
        <v>771817860062</v>
      </c>
      <c r="H514" s="21">
        <v>1</v>
      </c>
      <c r="I514" s="26"/>
    </row>
    <row r="515" spans="1:9" s="13" customFormat="1" ht="35.1" customHeight="1">
      <c r="A515" s="6" t="s">
        <v>398</v>
      </c>
      <c r="B515" s="11" t="s">
        <v>410</v>
      </c>
      <c r="C515" s="12" t="s">
        <v>968</v>
      </c>
      <c r="D515" s="6" t="s">
        <v>406</v>
      </c>
      <c r="E515" s="6" t="s">
        <v>628</v>
      </c>
      <c r="F515" s="6" t="s">
        <v>398</v>
      </c>
      <c r="G515" s="18" t="str">
        <f>+VLOOKUP(F515,[1]Лист_1!$A:$C,2,0)</f>
        <v>771598446610</v>
      </c>
      <c r="H515" s="21">
        <v>1</v>
      </c>
      <c r="I515" s="26"/>
    </row>
    <row r="516" spans="1:9" s="13" customFormat="1" ht="35.1" customHeight="1">
      <c r="A516" s="6" t="s">
        <v>389</v>
      </c>
      <c r="B516" s="11" t="s">
        <v>410</v>
      </c>
      <c r="C516" s="12" t="s">
        <v>968</v>
      </c>
      <c r="D516" s="6" t="s">
        <v>406</v>
      </c>
      <c r="E516" s="6" t="s">
        <v>628</v>
      </c>
      <c r="F516" s="6" t="s">
        <v>389</v>
      </c>
      <c r="G516" s="18" t="str">
        <f>+VLOOKUP(F516,[1]Лист_1!$A:$C,2,0)</f>
        <v>352835640741</v>
      </c>
      <c r="H516" s="21">
        <v>0.5</v>
      </c>
      <c r="I516" s="26"/>
    </row>
    <row r="517" spans="1:9" s="13" customFormat="1" ht="35.1" customHeight="1">
      <c r="A517" s="29" t="s">
        <v>745</v>
      </c>
      <c r="B517" s="11" t="s">
        <v>410</v>
      </c>
      <c r="C517" s="12" t="s">
        <v>410</v>
      </c>
      <c r="D517" s="6" t="s">
        <v>406</v>
      </c>
      <c r="E517" s="6" t="s">
        <v>628</v>
      </c>
      <c r="F517" s="28" t="s">
        <v>66</v>
      </c>
      <c r="G517" s="18"/>
      <c r="H517" s="21">
        <v>0.5</v>
      </c>
      <c r="I517" s="26"/>
    </row>
    <row r="518" spans="1:9" s="13" customFormat="1" ht="35.1" customHeight="1">
      <c r="A518" s="6" t="s">
        <v>390</v>
      </c>
      <c r="B518" s="11" t="s">
        <v>410</v>
      </c>
      <c r="C518" s="12" t="s">
        <v>410</v>
      </c>
      <c r="D518" s="6" t="s">
        <v>406</v>
      </c>
      <c r="E518" s="6" t="s">
        <v>628</v>
      </c>
      <c r="F518" s="6" t="s">
        <v>390</v>
      </c>
      <c r="G518" s="18" t="str">
        <f>+VLOOKUP(F518,[1]Лист_1!$A:$C,2,0)</f>
        <v>231124258425</v>
      </c>
      <c r="H518" s="21">
        <v>1</v>
      </c>
      <c r="I518" s="26"/>
    </row>
    <row r="519" spans="1:9" s="13" customFormat="1" ht="35.1" customHeight="1">
      <c r="A519" s="6" t="s">
        <v>643</v>
      </c>
      <c r="B519" s="11" t="s">
        <v>410</v>
      </c>
      <c r="C519" s="12" t="s">
        <v>410</v>
      </c>
      <c r="D519" s="6" t="s">
        <v>406</v>
      </c>
      <c r="E519" s="6" t="s">
        <v>628</v>
      </c>
      <c r="F519" s="6" t="s">
        <v>643</v>
      </c>
      <c r="G519" s="18" t="str">
        <f>+VLOOKUP(F519,[1]Лист_1!$A:$C,2,0)</f>
        <v>231848836720</v>
      </c>
      <c r="H519" s="21">
        <v>1</v>
      </c>
      <c r="I519" s="26"/>
    </row>
    <row r="520" spans="1:9" s="13" customFormat="1" ht="35.1" customHeight="1">
      <c r="A520" s="6" t="s">
        <v>595</v>
      </c>
      <c r="B520" s="11" t="s">
        <v>410</v>
      </c>
      <c r="C520" s="12" t="s">
        <v>410</v>
      </c>
      <c r="D520" s="6" t="s">
        <v>406</v>
      </c>
      <c r="E520" s="6" t="s">
        <v>628</v>
      </c>
      <c r="F520" s="6" t="s">
        <v>595</v>
      </c>
      <c r="G520" s="18" t="str">
        <f>+VLOOKUP(F520,[1]Лист_1!$A:$C,2,0)</f>
        <v>231527625879</v>
      </c>
      <c r="H520" s="21">
        <v>1</v>
      </c>
      <c r="I520" s="26"/>
    </row>
    <row r="521" spans="1:9" s="13" customFormat="1" ht="35.1" customHeight="1">
      <c r="A521" s="6" t="s">
        <v>399</v>
      </c>
      <c r="B521" s="11" t="s">
        <v>410</v>
      </c>
      <c r="C521" s="12" t="s">
        <v>410</v>
      </c>
      <c r="D521" s="6" t="s">
        <v>406</v>
      </c>
      <c r="E521" s="6" t="s">
        <v>722</v>
      </c>
      <c r="F521" s="6" t="s">
        <v>399</v>
      </c>
      <c r="G521" s="18" t="str">
        <f>+VLOOKUP(F521,[1]Лист_1!$A:$C,2,0)</f>
        <v>772993189331</v>
      </c>
      <c r="H521" s="21">
        <v>1</v>
      </c>
      <c r="I521" s="26"/>
    </row>
    <row r="522" spans="1:9" s="13" customFormat="1" ht="35.1" customHeight="1">
      <c r="A522" s="6" t="s">
        <v>111</v>
      </c>
      <c r="B522" s="11" t="s">
        <v>410</v>
      </c>
      <c r="C522" s="12" t="s">
        <v>410</v>
      </c>
      <c r="D522" s="6" t="s">
        <v>406</v>
      </c>
      <c r="E522" s="6" t="s">
        <v>722</v>
      </c>
      <c r="F522" s="6" t="s">
        <v>111</v>
      </c>
      <c r="G522" s="18" t="str">
        <f>+VLOOKUP(F522,[1]Лист_1!$A:$C,2,0)</f>
        <v>236502352876</v>
      </c>
      <c r="H522" s="20">
        <v>1</v>
      </c>
      <c r="I522" s="26"/>
    </row>
    <row r="523" spans="1:9" s="13" customFormat="1" ht="35.1" customHeight="1">
      <c r="A523" s="6" t="s">
        <v>110</v>
      </c>
      <c r="B523" s="11" t="s">
        <v>410</v>
      </c>
      <c r="C523" s="12" t="s">
        <v>410</v>
      </c>
      <c r="D523" s="6" t="s">
        <v>406</v>
      </c>
      <c r="E523" s="6" t="s">
        <v>26</v>
      </c>
      <c r="F523" s="6" t="s">
        <v>110</v>
      </c>
      <c r="G523" s="18" t="str">
        <f>+VLOOKUP(F523,[1]Лист_1!$A:$C,2,0)</f>
        <v>910306808036</v>
      </c>
      <c r="H523" s="20">
        <v>1</v>
      </c>
      <c r="I523" s="26"/>
    </row>
    <row r="524" spans="1:9" s="13" customFormat="1" ht="35.1" customHeight="1">
      <c r="A524" s="6" t="s">
        <v>395</v>
      </c>
      <c r="B524" s="11" t="s">
        <v>410</v>
      </c>
      <c r="C524" s="12" t="s">
        <v>410</v>
      </c>
      <c r="D524" s="6" t="s">
        <v>406</v>
      </c>
      <c r="E524" s="6" t="s">
        <v>74</v>
      </c>
      <c r="F524" s="6" t="s">
        <v>395</v>
      </c>
      <c r="G524" s="18" t="str">
        <f>+VLOOKUP(F524,[1]Лист_1!$A:$C,2,0)</f>
        <v>772987677740</v>
      </c>
      <c r="H524" s="21">
        <v>0</v>
      </c>
      <c r="I524" s="26"/>
    </row>
    <row r="525" spans="1:9" s="13" customFormat="1" ht="48.75" customHeight="1">
      <c r="A525" s="6" t="s">
        <v>685</v>
      </c>
      <c r="B525" s="11" t="s">
        <v>410</v>
      </c>
      <c r="C525" s="12" t="s">
        <v>410</v>
      </c>
      <c r="D525" s="6" t="s">
        <v>406</v>
      </c>
      <c r="E525" s="6" t="s">
        <v>74</v>
      </c>
      <c r="F525" s="6" t="s">
        <v>685</v>
      </c>
      <c r="G525" s="18" t="str">
        <f>+VLOOKUP(F525,[1]Лист_1!$A:$C,2,0)</f>
        <v>772606010646</v>
      </c>
      <c r="H525" s="21">
        <v>1</v>
      </c>
      <c r="I525" s="26"/>
    </row>
    <row r="526" spans="1:9" s="13" customFormat="1" ht="35.1" customHeight="1">
      <c r="A526" s="6" t="s">
        <v>112</v>
      </c>
      <c r="B526" s="11" t="s">
        <v>410</v>
      </c>
      <c r="C526" s="12" t="s">
        <v>410</v>
      </c>
      <c r="D526" s="6" t="s">
        <v>406</v>
      </c>
      <c r="E526" s="6" t="s">
        <v>74</v>
      </c>
      <c r="F526" s="6" t="s">
        <v>112</v>
      </c>
      <c r="G526" s="18" t="str">
        <f>+VLOOKUP(F526,[1]Лист_1!$A:$C,2,0)</f>
        <v>236502352940</v>
      </c>
      <c r="H526" s="20">
        <v>1</v>
      </c>
      <c r="I526" s="26"/>
    </row>
    <row r="527" spans="1:9" s="13" customFormat="1" ht="35.1" customHeight="1">
      <c r="A527" s="6" t="s">
        <v>114</v>
      </c>
      <c r="B527" s="11" t="s">
        <v>410</v>
      </c>
      <c r="C527" s="12" t="s">
        <v>410</v>
      </c>
      <c r="D527" s="6" t="s">
        <v>406</v>
      </c>
      <c r="E527" s="6" t="s">
        <v>74</v>
      </c>
      <c r="F527" s="6" t="s">
        <v>114</v>
      </c>
      <c r="G527" s="18" t="str">
        <f>+VLOOKUP(F527,[1]Лист_1!$A:$C,2,0)</f>
        <v>312806737510</v>
      </c>
      <c r="H527" s="20">
        <v>1</v>
      </c>
      <c r="I527" s="26"/>
    </row>
    <row r="528" spans="1:9" s="13" customFormat="1" ht="35.1" customHeight="1">
      <c r="A528" s="28" t="s">
        <v>25</v>
      </c>
      <c r="B528" s="11" t="s">
        <v>410</v>
      </c>
      <c r="C528" s="12" t="s">
        <v>410</v>
      </c>
      <c r="D528" s="6" t="s">
        <v>406</v>
      </c>
      <c r="E528" s="6" t="s">
        <v>137</v>
      </c>
      <c r="F528" s="28" t="s">
        <v>66</v>
      </c>
      <c r="G528" s="18"/>
      <c r="H528" s="21">
        <v>0.35</v>
      </c>
      <c r="I528" s="26"/>
    </row>
    <row r="529" spans="1:9" s="13" customFormat="1" ht="35.1" customHeight="1">
      <c r="A529" s="29" t="s">
        <v>794</v>
      </c>
      <c r="B529" s="11" t="s">
        <v>410</v>
      </c>
      <c r="C529" s="12" t="s">
        <v>410</v>
      </c>
      <c r="D529" s="6" t="s">
        <v>406</v>
      </c>
      <c r="E529" s="6" t="s">
        <v>137</v>
      </c>
      <c r="F529" s="29" t="s">
        <v>794</v>
      </c>
      <c r="G529" s="18" t="str">
        <f>+VLOOKUP(F529,[1]Лист_1!$A:$C,2,0)</f>
        <v>230818072144</v>
      </c>
      <c r="H529" s="21">
        <v>0.65</v>
      </c>
      <c r="I529" s="26"/>
    </row>
    <row r="530" spans="1:9" s="13" customFormat="1" ht="35.1" customHeight="1">
      <c r="B530" s="44"/>
      <c r="C530" s="44"/>
      <c r="D530" s="44"/>
      <c r="E530" s="44"/>
      <c r="F530" s="51"/>
      <c r="G530" s="44"/>
      <c r="H530" s="14">
        <f>SUM(H382:H529)</f>
        <v>137</v>
      </c>
      <c r="I530" s="37"/>
    </row>
    <row r="531" spans="1:9" s="13" customFormat="1" ht="49.5" customHeight="1">
      <c r="A531" s="18" t="s">
        <v>481</v>
      </c>
      <c r="B531" s="11" t="s">
        <v>491</v>
      </c>
      <c r="C531" s="12" t="s">
        <v>491</v>
      </c>
      <c r="D531" s="6" t="s">
        <v>903</v>
      </c>
      <c r="E531" s="18" t="s">
        <v>154</v>
      </c>
      <c r="F531" s="6" t="s">
        <v>481</v>
      </c>
      <c r="G531" s="18" t="str">
        <f>+VLOOKUP(F531,[1]Лист_1!$A:$C,2,0)</f>
        <v>773128451380</v>
      </c>
      <c r="H531" s="7">
        <v>1</v>
      </c>
      <c r="I531" s="26"/>
    </row>
    <row r="532" spans="1:9" s="13" customFormat="1" ht="49.5" customHeight="1">
      <c r="A532" s="19" t="s">
        <v>310</v>
      </c>
      <c r="B532" s="11" t="s">
        <v>491</v>
      </c>
      <c r="C532" s="12" t="s">
        <v>491</v>
      </c>
      <c r="D532" s="6" t="s">
        <v>903</v>
      </c>
      <c r="E532" s="18" t="s">
        <v>155</v>
      </c>
      <c r="F532" s="28" t="s">
        <v>66</v>
      </c>
      <c r="G532" s="18"/>
      <c r="H532" s="7">
        <v>1</v>
      </c>
      <c r="I532" s="26"/>
    </row>
    <row r="533" spans="1:9" s="13" customFormat="1" ht="34.35" customHeight="1">
      <c r="A533" s="6" t="s">
        <v>680</v>
      </c>
      <c r="B533" s="11" t="s">
        <v>491</v>
      </c>
      <c r="C533" s="12" t="s">
        <v>491</v>
      </c>
      <c r="D533" s="6" t="s">
        <v>457</v>
      </c>
      <c r="E533" s="6" t="s">
        <v>14</v>
      </c>
      <c r="F533" s="6" t="s">
        <v>680</v>
      </c>
      <c r="G533" s="18" t="str">
        <f>+VLOOKUP(F533,[1]Лист_1!$A:$C,2,0)</f>
        <v>502907455582</v>
      </c>
      <c r="H533" s="7">
        <v>1</v>
      </c>
      <c r="I533" s="26"/>
    </row>
    <row r="534" spans="1:9" s="13" customFormat="1" ht="35.1" customHeight="1">
      <c r="A534" s="28" t="s">
        <v>310</v>
      </c>
      <c r="B534" s="11" t="s">
        <v>491</v>
      </c>
      <c r="C534" s="12" t="s">
        <v>491</v>
      </c>
      <c r="D534" s="6" t="s">
        <v>457</v>
      </c>
      <c r="E534" s="6" t="s">
        <v>15</v>
      </c>
      <c r="F534" s="29" t="s">
        <v>699</v>
      </c>
      <c r="G534" s="48" t="s">
        <v>956</v>
      </c>
      <c r="H534" s="7">
        <v>1</v>
      </c>
      <c r="I534" s="26"/>
    </row>
    <row r="535" spans="1:9" s="13" customFormat="1" ht="35.1" customHeight="1">
      <c r="A535" s="6" t="s">
        <v>475</v>
      </c>
      <c r="B535" s="11" t="s">
        <v>491</v>
      </c>
      <c r="C535" s="12" t="s">
        <v>491</v>
      </c>
      <c r="D535" s="6" t="s">
        <v>457</v>
      </c>
      <c r="E535" s="6" t="s">
        <v>721</v>
      </c>
      <c r="F535" s="6" t="s">
        <v>475</v>
      </c>
      <c r="G535" s="18" t="str">
        <f>+VLOOKUP(F535,[1]Лист_1!$A:$C,2,0)</f>
        <v>772346131050</v>
      </c>
      <c r="H535" s="7">
        <v>1</v>
      </c>
      <c r="I535" s="26"/>
    </row>
    <row r="536" spans="1:9" s="13" customFormat="1" ht="35.1" customHeight="1">
      <c r="A536" s="6" t="s">
        <v>699</v>
      </c>
      <c r="B536" s="11" t="s">
        <v>491</v>
      </c>
      <c r="C536" s="12" t="s">
        <v>491</v>
      </c>
      <c r="D536" s="6" t="s">
        <v>457</v>
      </c>
      <c r="E536" s="6" t="s">
        <v>721</v>
      </c>
      <c r="F536" s="29" t="s">
        <v>792</v>
      </c>
      <c r="G536" s="29" t="str">
        <f>+VLOOKUP(F536,[1]Лист_1!$A:$C,2,0)</f>
        <v>773323137989</v>
      </c>
      <c r="H536" s="7">
        <v>1</v>
      </c>
      <c r="I536" s="26"/>
    </row>
    <row r="537" spans="1:9" s="13" customFormat="1" ht="35.1" customHeight="1">
      <c r="A537" s="6" t="s">
        <v>836</v>
      </c>
      <c r="B537" s="11" t="s">
        <v>491</v>
      </c>
      <c r="C537" s="12" t="s">
        <v>491</v>
      </c>
      <c r="D537" s="6" t="s">
        <v>457</v>
      </c>
      <c r="E537" s="6" t="s">
        <v>137</v>
      </c>
      <c r="F537" s="6" t="s">
        <v>836</v>
      </c>
      <c r="G537" s="18" t="str">
        <f>+VLOOKUP(F537,[1]Лист_1!$A:$C,2,0)</f>
        <v>771618629189</v>
      </c>
      <c r="H537" s="7">
        <v>1</v>
      </c>
      <c r="I537" s="26"/>
    </row>
    <row r="538" spans="1:9" s="13" customFormat="1" ht="35.1" customHeight="1">
      <c r="A538" s="6" t="s">
        <v>473</v>
      </c>
      <c r="B538" s="11" t="s">
        <v>491</v>
      </c>
      <c r="C538" s="12" t="s">
        <v>491</v>
      </c>
      <c r="D538" s="6" t="s">
        <v>457</v>
      </c>
      <c r="E538" s="6" t="s">
        <v>299</v>
      </c>
      <c r="F538" s="6" t="s">
        <v>473</v>
      </c>
      <c r="G538" s="18" t="str">
        <f>+VLOOKUP(F538,[1]Лист_1!$A:$C,2,0)</f>
        <v>502908869755</v>
      </c>
      <c r="H538" s="7">
        <v>1</v>
      </c>
      <c r="I538" s="26"/>
    </row>
    <row r="539" spans="1:9" s="13" customFormat="1" ht="35.1" customHeight="1">
      <c r="A539" s="6" t="s">
        <v>735</v>
      </c>
      <c r="B539" s="11" t="s">
        <v>491</v>
      </c>
      <c r="C539" s="12" t="s">
        <v>491</v>
      </c>
      <c r="D539" s="6" t="s">
        <v>457</v>
      </c>
      <c r="E539" s="6" t="s">
        <v>299</v>
      </c>
      <c r="F539" s="6" t="s">
        <v>735</v>
      </c>
      <c r="G539" s="18" t="str">
        <f>+VLOOKUP(F539,[1]Лист_1!$A:$C,2,0)</f>
        <v>503233151379</v>
      </c>
      <c r="H539" s="7">
        <v>1</v>
      </c>
      <c r="I539" s="26"/>
    </row>
    <row r="540" spans="1:9" s="13" customFormat="1" ht="34.5" customHeight="1">
      <c r="A540" s="6" t="s">
        <v>792</v>
      </c>
      <c r="B540" s="11" t="s">
        <v>491</v>
      </c>
      <c r="C540" s="12" t="s">
        <v>491</v>
      </c>
      <c r="D540" s="6" t="s">
        <v>457</v>
      </c>
      <c r="E540" s="6" t="s">
        <v>458</v>
      </c>
      <c r="F540" s="29" t="s">
        <v>957</v>
      </c>
      <c r="G540" s="49" t="s">
        <v>958</v>
      </c>
      <c r="H540" s="7">
        <v>1</v>
      </c>
      <c r="I540" s="26"/>
    </row>
    <row r="541" spans="1:9" s="13" customFormat="1" ht="35.1" customHeight="1">
      <c r="A541" s="6" t="s">
        <v>478</v>
      </c>
      <c r="B541" s="11" t="s">
        <v>491</v>
      </c>
      <c r="C541" s="12" t="s">
        <v>491</v>
      </c>
      <c r="D541" s="6" t="s">
        <v>904</v>
      </c>
      <c r="E541" s="6" t="s">
        <v>14</v>
      </c>
      <c r="F541" s="6" t="s">
        <v>478</v>
      </c>
      <c r="G541" s="18" t="str">
        <f>+VLOOKUP(F541,[1]Лист_1!$A:$C,2,0)</f>
        <v>504106803440</v>
      </c>
      <c r="H541" s="7">
        <v>1</v>
      </c>
      <c r="I541" s="26"/>
    </row>
    <row r="542" spans="1:9" s="13" customFormat="1" ht="35.1" customHeight="1">
      <c r="A542" s="6" t="s">
        <v>480</v>
      </c>
      <c r="B542" s="11" t="s">
        <v>491</v>
      </c>
      <c r="C542" s="12" t="s">
        <v>491</v>
      </c>
      <c r="D542" s="6" t="s">
        <v>904</v>
      </c>
      <c r="E542" s="6" t="s">
        <v>15</v>
      </c>
      <c r="F542" s="6" t="s">
        <v>480</v>
      </c>
      <c r="G542" s="18" t="str">
        <f>+VLOOKUP(F542,[1]Лист_1!$A:$C,2,0)</f>
        <v>771670099463</v>
      </c>
      <c r="H542" s="7">
        <v>1</v>
      </c>
      <c r="I542" s="26"/>
    </row>
    <row r="543" spans="1:9" s="13" customFormat="1" ht="35.1" customHeight="1">
      <c r="A543" s="6" t="s">
        <v>477</v>
      </c>
      <c r="B543" s="11" t="s">
        <v>491</v>
      </c>
      <c r="C543" s="12" t="s">
        <v>491</v>
      </c>
      <c r="D543" s="6" t="s">
        <v>904</v>
      </c>
      <c r="E543" s="6" t="s">
        <v>137</v>
      </c>
      <c r="F543" s="6" t="s">
        <v>477</v>
      </c>
      <c r="G543" s="18" t="str">
        <f>+VLOOKUP(F543,[1]Лист_1!$A:$C,2,0)</f>
        <v>773381309605</v>
      </c>
      <c r="H543" s="7">
        <v>1</v>
      </c>
      <c r="I543" s="26"/>
    </row>
    <row r="544" spans="1:9" s="13" customFormat="1" ht="35.1" customHeight="1">
      <c r="A544" s="6" t="s">
        <v>479</v>
      </c>
      <c r="B544" s="11" t="s">
        <v>491</v>
      </c>
      <c r="C544" s="12" t="s">
        <v>491</v>
      </c>
      <c r="D544" s="6" t="s">
        <v>904</v>
      </c>
      <c r="E544" s="6" t="s">
        <v>137</v>
      </c>
      <c r="F544" s="6" t="s">
        <v>479</v>
      </c>
      <c r="G544" s="18" t="str">
        <f>+VLOOKUP(F544,[1]Лист_1!$A:$C,2,0)</f>
        <v>771804164685</v>
      </c>
      <c r="H544" s="7">
        <v>1</v>
      </c>
      <c r="I544" s="26"/>
    </row>
    <row r="545" spans="1:9" s="13" customFormat="1" ht="35.1" customHeight="1">
      <c r="A545" s="6" t="s">
        <v>922</v>
      </c>
      <c r="B545" s="11" t="s">
        <v>491</v>
      </c>
      <c r="C545" s="12" t="s">
        <v>491</v>
      </c>
      <c r="D545" s="6" t="s">
        <v>904</v>
      </c>
      <c r="E545" s="6" t="s">
        <v>137</v>
      </c>
      <c r="F545" s="6" t="s">
        <v>922</v>
      </c>
      <c r="G545" s="18" t="str">
        <f>+VLOOKUP(F545,[1]Лист_1!$A:$C,2,0)</f>
        <v>550307062676</v>
      </c>
      <c r="H545" s="7">
        <v>1</v>
      </c>
      <c r="I545" s="26"/>
    </row>
    <row r="546" spans="1:9" s="13" customFormat="1" ht="35.1" customHeight="1">
      <c r="A546" s="6" t="s">
        <v>469</v>
      </c>
      <c r="B546" s="11" t="s">
        <v>491</v>
      </c>
      <c r="C546" s="12" t="s">
        <v>491</v>
      </c>
      <c r="D546" s="6" t="s">
        <v>904</v>
      </c>
      <c r="E546" s="6" t="s">
        <v>445</v>
      </c>
      <c r="F546" s="6" t="s">
        <v>469</v>
      </c>
      <c r="G546" s="18" t="str">
        <f>+VLOOKUP(F546,[1]Лист_1!$A:$C,2,0)</f>
        <v>771412377869</v>
      </c>
      <c r="H546" s="7">
        <v>1</v>
      </c>
      <c r="I546" s="26"/>
    </row>
    <row r="547" spans="1:9" s="13" customFormat="1" ht="35.1" customHeight="1">
      <c r="A547" s="6" t="s">
        <v>468</v>
      </c>
      <c r="B547" s="11" t="s">
        <v>491</v>
      </c>
      <c r="C547" s="12" t="s">
        <v>491</v>
      </c>
      <c r="D547" s="6" t="s">
        <v>904</v>
      </c>
      <c r="E547" s="6" t="s">
        <v>137</v>
      </c>
      <c r="F547" s="6" t="s">
        <v>468</v>
      </c>
      <c r="G547" s="18" t="str">
        <f>+VLOOKUP(F547,[1]Лист_1!$A:$C,2,0)</f>
        <v>771564001074</v>
      </c>
      <c r="H547" s="7">
        <v>0.75</v>
      </c>
      <c r="I547" s="26"/>
    </row>
    <row r="548" spans="1:9" s="13" customFormat="1" ht="35.1" customHeight="1">
      <c r="A548" s="19" t="s">
        <v>25</v>
      </c>
      <c r="B548" s="11" t="s">
        <v>491</v>
      </c>
      <c r="C548" s="12" t="s">
        <v>491</v>
      </c>
      <c r="D548" s="6" t="s">
        <v>904</v>
      </c>
      <c r="E548" s="6" t="s">
        <v>137</v>
      </c>
      <c r="F548" s="28" t="s">
        <v>66</v>
      </c>
      <c r="G548" s="18"/>
      <c r="H548" s="7">
        <v>0.25</v>
      </c>
      <c r="I548" s="26"/>
    </row>
    <row r="549" spans="1:9" s="13" customFormat="1" ht="35.1" customHeight="1">
      <c r="A549" s="6" t="s">
        <v>841</v>
      </c>
      <c r="B549" s="11" t="s">
        <v>491</v>
      </c>
      <c r="C549" s="12" t="s">
        <v>491</v>
      </c>
      <c r="D549" s="6" t="s">
        <v>904</v>
      </c>
      <c r="E549" s="6" t="s">
        <v>137</v>
      </c>
      <c r="F549" s="6" t="s">
        <v>841</v>
      </c>
      <c r="G549" s="18" t="str">
        <f>+VLOOKUP(F549,[1]Лист_1!$A:$C,2,0)</f>
        <v>672906283560</v>
      </c>
      <c r="H549" s="7">
        <v>1</v>
      </c>
      <c r="I549" s="26"/>
    </row>
    <row r="550" spans="1:9" s="13" customFormat="1" ht="35.1" customHeight="1">
      <c r="A550" s="6" t="s">
        <v>474</v>
      </c>
      <c r="B550" s="11" t="s">
        <v>491</v>
      </c>
      <c r="C550" s="12" t="s">
        <v>491</v>
      </c>
      <c r="D550" s="6" t="s">
        <v>904</v>
      </c>
      <c r="E550" s="6" t="s">
        <v>458</v>
      </c>
      <c r="F550" s="6" t="s">
        <v>474</v>
      </c>
      <c r="G550" s="18" t="str">
        <f>+VLOOKUP(F550,[1]Лист_1!$A:$C,2,0)</f>
        <v>590849475943</v>
      </c>
      <c r="H550" s="7">
        <v>1</v>
      </c>
      <c r="I550" s="26"/>
    </row>
    <row r="551" spans="1:9" s="13" customFormat="1" ht="35.1" customHeight="1">
      <c r="A551" s="6" t="s">
        <v>466</v>
      </c>
      <c r="B551" s="11" t="s">
        <v>491</v>
      </c>
      <c r="C551" s="12" t="s">
        <v>491</v>
      </c>
      <c r="D551" s="6" t="s">
        <v>904</v>
      </c>
      <c r="E551" s="6" t="s">
        <v>456</v>
      </c>
      <c r="F551" s="6" t="s">
        <v>466</v>
      </c>
      <c r="G551" s="18" t="str">
        <f>+VLOOKUP(F551,[1]Лист_1!$A:$C,2,0)</f>
        <v>410901334013</v>
      </c>
      <c r="H551" s="7">
        <v>0.5</v>
      </c>
      <c r="I551" s="26"/>
    </row>
    <row r="552" spans="1:9" s="13" customFormat="1" ht="35.1" customHeight="1">
      <c r="A552" s="6" t="s">
        <v>472</v>
      </c>
      <c r="B552" s="11" t="s">
        <v>491</v>
      </c>
      <c r="C552" s="12" t="s">
        <v>491</v>
      </c>
      <c r="D552" s="6" t="s">
        <v>904</v>
      </c>
      <c r="E552" s="6" t="s">
        <v>456</v>
      </c>
      <c r="F552" s="6" t="s">
        <v>472</v>
      </c>
      <c r="G552" s="18" t="str">
        <f>+VLOOKUP(F552,[1]Лист_1!$A:$C,2,0)</f>
        <v>772605342984</v>
      </c>
      <c r="H552" s="7">
        <v>0.5</v>
      </c>
      <c r="I552" s="26"/>
    </row>
    <row r="553" spans="1:9" s="13" customFormat="1" ht="35.1" customHeight="1">
      <c r="A553" s="18" t="s">
        <v>470</v>
      </c>
      <c r="B553" s="11" t="s">
        <v>491</v>
      </c>
      <c r="C553" s="12" t="s">
        <v>491</v>
      </c>
      <c r="D553" s="6" t="s">
        <v>459</v>
      </c>
      <c r="E553" s="18" t="s">
        <v>14</v>
      </c>
      <c r="F553" s="6" t="s">
        <v>470</v>
      </c>
      <c r="G553" s="18" t="str">
        <f>+VLOOKUP(F553,[1]Лист_1!$A:$C,2,0)</f>
        <v>771816487828</v>
      </c>
      <c r="H553" s="7">
        <v>1</v>
      </c>
      <c r="I553" s="26"/>
    </row>
    <row r="554" spans="1:9" s="13" customFormat="1" ht="35.1" customHeight="1">
      <c r="A554" s="18" t="s">
        <v>484</v>
      </c>
      <c r="B554" s="11" t="s">
        <v>491</v>
      </c>
      <c r="C554" s="12" t="s">
        <v>491</v>
      </c>
      <c r="D554" s="6" t="s">
        <v>459</v>
      </c>
      <c r="E554" s="18" t="s">
        <v>616</v>
      </c>
      <c r="F554" s="6" t="s">
        <v>484</v>
      </c>
      <c r="G554" s="18" t="str">
        <f>+VLOOKUP(F554,[1]Лист_1!$A:$C,2,0)</f>
        <v>434522238394</v>
      </c>
      <c r="H554" s="7">
        <v>1</v>
      </c>
      <c r="I554" s="26"/>
    </row>
    <row r="555" spans="1:9" s="13" customFormat="1" ht="35.1" customHeight="1">
      <c r="A555" s="18" t="s">
        <v>490</v>
      </c>
      <c r="B555" s="11" t="s">
        <v>491</v>
      </c>
      <c r="C555" s="12" t="s">
        <v>491</v>
      </c>
      <c r="D555" s="6" t="s">
        <v>459</v>
      </c>
      <c r="E555" s="18" t="s">
        <v>616</v>
      </c>
      <c r="F555" s="6" t="s">
        <v>490</v>
      </c>
      <c r="G555" s="18" t="str">
        <f>+VLOOKUP(F555,[1]Лист_1!$A:$C,2,0)</f>
        <v>772156429508</v>
      </c>
      <c r="H555" s="7">
        <v>1</v>
      </c>
      <c r="I555" s="26"/>
    </row>
    <row r="556" spans="1:9" s="13" customFormat="1" ht="35.1" customHeight="1">
      <c r="A556" s="18" t="s">
        <v>482</v>
      </c>
      <c r="B556" s="11" t="s">
        <v>491</v>
      </c>
      <c r="C556" s="12" t="s">
        <v>491</v>
      </c>
      <c r="D556" s="6" t="s">
        <v>459</v>
      </c>
      <c r="E556" s="18" t="s">
        <v>616</v>
      </c>
      <c r="F556" s="6" t="s">
        <v>482</v>
      </c>
      <c r="G556" s="18" t="str">
        <f>+VLOOKUP(F556,[1]Лист_1!$A:$C,2,0)</f>
        <v>525621342940</v>
      </c>
      <c r="H556" s="7">
        <v>1</v>
      </c>
      <c r="I556" s="26"/>
    </row>
    <row r="557" spans="1:9" s="13" customFormat="1" ht="35.1" customHeight="1">
      <c r="A557" s="18" t="s">
        <v>465</v>
      </c>
      <c r="B557" s="11" t="s">
        <v>491</v>
      </c>
      <c r="C557" s="12" t="s">
        <v>491</v>
      </c>
      <c r="D557" s="6" t="s">
        <v>459</v>
      </c>
      <c r="E557" s="18" t="s">
        <v>616</v>
      </c>
      <c r="F557" s="6" t="s">
        <v>465</v>
      </c>
      <c r="G557" s="18" t="str">
        <f>+VLOOKUP(F557,[1]Лист_1!$A:$C,2,0)</f>
        <v>463314123304</v>
      </c>
      <c r="H557" s="7">
        <v>1</v>
      </c>
      <c r="I557" s="26"/>
    </row>
    <row r="558" spans="1:9" s="13" customFormat="1" ht="35.1" customHeight="1">
      <c r="A558" s="29" t="s">
        <v>931</v>
      </c>
      <c r="B558" s="11" t="s">
        <v>491</v>
      </c>
      <c r="C558" s="12" t="s">
        <v>968</v>
      </c>
      <c r="D558" s="6" t="s">
        <v>459</v>
      </c>
      <c r="E558" s="18" t="s">
        <v>616</v>
      </c>
      <c r="F558" s="29" t="s">
        <v>931</v>
      </c>
      <c r="G558" s="18" t="str">
        <f>+VLOOKUP(F558,[1]Лист_1!$A:$C,2,0)</f>
        <v>507460775892</v>
      </c>
      <c r="H558" s="7">
        <v>0.5</v>
      </c>
      <c r="I558" s="26"/>
    </row>
    <row r="559" spans="1:9" s="13" customFormat="1" ht="35.1" customHeight="1">
      <c r="A559" s="18" t="s">
        <v>871</v>
      </c>
      <c r="B559" s="11" t="s">
        <v>491</v>
      </c>
      <c r="C559" s="12" t="s">
        <v>968</v>
      </c>
      <c r="D559" s="6" t="s">
        <v>459</v>
      </c>
      <c r="E559" s="18" t="s">
        <v>616</v>
      </c>
      <c r="F559" s="6" t="s">
        <v>871</v>
      </c>
      <c r="G559" s="18" t="str">
        <f>+VLOOKUP(F559,[1]Лист_1!$A:$C,2,0)</f>
        <v>771200521743</v>
      </c>
      <c r="H559" s="7">
        <v>0.5</v>
      </c>
      <c r="I559" s="26"/>
    </row>
    <row r="560" spans="1:9" s="13" customFormat="1" ht="35.1" customHeight="1">
      <c r="A560" s="18" t="s">
        <v>599</v>
      </c>
      <c r="B560" s="11" t="s">
        <v>491</v>
      </c>
      <c r="C560" s="12" t="s">
        <v>491</v>
      </c>
      <c r="D560" s="6" t="s">
        <v>459</v>
      </c>
      <c r="E560" s="18" t="s">
        <v>616</v>
      </c>
      <c r="F560" s="6" t="s">
        <v>599</v>
      </c>
      <c r="G560" s="18" t="str">
        <f>+VLOOKUP(F560,[1]Лист_1!$A:$C,2,0)</f>
        <v>550516636317</v>
      </c>
      <c r="H560" s="7">
        <v>1</v>
      </c>
      <c r="I560" s="26"/>
    </row>
    <row r="561" spans="1:9" s="13" customFormat="1" ht="35.1" customHeight="1">
      <c r="A561" s="29" t="s">
        <v>862</v>
      </c>
      <c r="B561" s="11" t="s">
        <v>491</v>
      </c>
      <c r="C561" s="12" t="s">
        <v>491</v>
      </c>
      <c r="D561" s="6" t="s">
        <v>459</v>
      </c>
      <c r="E561" s="6" t="s">
        <v>616</v>
      </c>
      <c r="F561" s="29" t="s">
        <v>862</v>
      </c>
      <c r="G561" s="18" t="str">
        <f>+VLOOKUP(F561,[1]Лист_1!$A:$C,2,0)</f>
        <v>402812807265</v>
      </c>
      <c r="H561" s="7">
        <v>1</v>
      </c>
      <c r="I561" s="26"/>
    </row>
    <row r="562" spans="1:9" s="13" customFormat="1" ht="35.1" customHeight="1">
      <c r="A562" s="6" t="s">
        <v>863</v>
      </c>
      <c r="B562" s="11" t="s">
        <v>491</v>
      </c>
      <c r="C562" s="12" t="s">
        <v>491</v>
      </c>
      <c r="D562" s="6" t="s">
        <v>459</v>
      </c>
      <c r="E562" s="6" t="s">
        <v>616</v>
      </c>
      <c r="F562" s="6" t="s">
        <v>863</v>
      </c>
      <c r="G562" s="18" t="str">
        <f>+VLOOKUP(F562,[1]Лист_1!$A:$C,2,0)</f>
        <v>772457758200</v>
      </c>
      <c r="H562" s="7">
        <v>0.5</v>
      </c>
      <c r="I562" s="26"/>
    </row>
    <row r="563" spans="1:9" s="13" customFormat="1" ht="35.1" customHeight="1">
      <c r="A563" s="6" t="s">
        <v>825</v>
      </c>
      <c r="B563" s="11" t="s">
        <v>491</v>
      </c>
      <c r="C563" s="12" t="s">
        <v>491</v>
      </c>
      <c r="D563" s="6" t="s">
        <v>459</v>
      </c>
      <c r="E563" s="6" t="s">
        <v>616</v>
      </c>
      <c r="F563" s="6" t="s">
        <v>825</v>
      </c>
      <c r="G563" s="18" t="str">
        <f>+VLOOKUP(F563,[1]Лист_1!$A:$C,2,0)</f>
        <v>772072547537</v>
      </c>
      <c r="H563" s="7">
        <v>0.5</v>
      </c>
      <c r="I563" s="26"/>
    </row>
    <row r="564" spans="1:9" s="13" customFormat="1" ht="35.1" customHeight="1">
      <c r="A564" s="6" t="s">
        <v>693</v>
      </c>
      <c r="B564" s="11" t="s">
        <v>491</v>
      </c>
      <c r="C564" s="12" t="s">
        <v>491</v>
      </c>
      <c r="D564" s="6" t="s">
        <v>459</v>
      </c>
      <c r="E564" s="6" t="s">
        <v>614</v>
      </c>
      <c r="F564" s="6" t="s">
        <v>693</v>
      </c>
      <c r="G564" s="18" t="str">
        <f>+VLOOKUP(F564,[1]Лист_1!$A:$C,2,0)</f>
        <v>212401678014</v>
      </c>
      <c r="H564" s="7">
        <v>1</v>
      </c>
      <c r="I564" s="26"/>
    </row>
    <row r="565" spans="1:9" s="13" customFormat="1" ht="35.1" customHeight="1">
      <c r="A565" s="6" t="s">
        <v>945</v>
      </c>
      <c r="B565" s="11" t="s">
        <v>491</v>
      </c>
      <c r="C565" s="12" t="s">
        <v>491</v>
      </c>
      <c r="D565" s="6" t="s">
        <v>459</v>
      </c>
      <c r="E565" s="6" t="s">
        <v>445</v>
      </c>
      <c r="F565" s="6" t="s">
        <v>945</v>
      </c>
      <c r="G565" s="18" t="str">
        <f>+VLOOKUP(F565,[1]Лист_1!$A:$C,2,0)</f>
        <v>183312573503</v>
      </c>
      <c r="H565" s="7">
        <v>1</v>
      </c>
      <c r="I565" s="26"/>
    </row>
    <row r="566" spans="1:9" s="13" customFormat="1" ht="35.1" customHeight="1">
      <c r="A566" s="18" t="s">
        <v>487</v>
      </c>
      <c r="B566" s="11" t="s">
        <v>491</v>
      </c>
      <c r="C566" s="12" t="s">
        <v>491</v>
      </c>
      <c r="D566" s="6" t="s">
        <v>459</v>
      </c>
      <c r="E566" s="18" t="s">
        <v>618</v>
      </c>
      <c r="F566" s="6" t="s">
        <v>487</v>
      </c>
      <c r="G566" s="18" t="str">
        <f>+VLOOKUP(F566,[1]Лист_1!$A:$C,2,0)</f>
        <v>440500462754</v>
      </c>
      <c r="H566" s="21">
        <v>1</v>
      </c>
      <c r="I566" s="26"/>
    </row>
    <row r="567" spans="1:9" s="13" customFormat="1" ht="35.1" customHeight="1">
      <c r="A567" s="18" t="s">
        <v>690</v>
      </c>
      <c r="B567" s="11" t="s">
        <v>491</v>
      </c>
      <c r="C567" s="12" t="s">
        <v>491</v>
      </c>
      <c r="D567" s="6" t="s">
        <v>459</v>
      </c>
      <c r="E567" s="18" t="s">
        <v>618</v>
      </c>
      <c r="F567" s="6" t="s">
        <v>690</v>
      </c>
      <c r="G567" s="18" t="str">
        <f>+VLOOKUP(F567,[1]Лист_1!$A:$C,2,0)</f>
        <v>110201397926</v>
      </c>
      <c r="H567" s="21">
        <v>1</v>
      </c>
      <c r="I567" s="26"/>
    </row>
    <row r="568" spans="1:9" s="13" customFormat="1" ht="35.1" customHeight="1">
      <c r="A568" s="18" t="s">
        <v>467</v>
      </c>
      <c r="B568" s="11" t="s">
        <v>491</v>
      </c>
      <c r="C568" s="12" t="s">
        <v>491</v>
      </c>
      <c r="D568" s="6" t="s">
        <v>459</v>
      </c>
      <c r="E568" s="18" t="s">
        <v>618</v>
      </c>
      <c r="F568" s="6" t="s">
        <v>467</v>
      </c>
      <c r="G568" s="18" t="str">
        <f>+VLOOKUP(F568,[1]Лист_1!$A:$C,2,0)</f>
        <v>772873683901</v>
      </c>
      <c r="H568" s="21">
        <v>1</v>
      </c>
      <c r="I568" s="26"/>
    </row>
    <row r="569" spans="1:9" s="13" customFormat="1" ht="35.1" customHeight="1">
      <c r="A569" s="18" t="s">
        <v>488</v>
      </c>
      <c r="B569" s="11" t="s">
        <v>491</v>
      </c>
      <c r="C569" s="12" t="s">
        <v>491</v>
      </c>
      <c r="D569" s="6" t="s">
        <v>459</v>
      </c>
      <c r="E569" s="18" t="s">
        <v>618</v>
      </c>
      <c r="F569" s="6" t="s">
        <v>488</v>
      </c>
      <c r="G569" s="18" t="str">
        <f>+VLOOKUP(F569,[1]Лист_1!$A:$C,2,0)</f>
        <v>501602831015</v>
      </c>
      <c r="H569" s="7">
        <v>1</v>
      </c>
      <c r="I569" s="26"/>
    </row>
    <row r="570" spans="1:9" s="13" customFormat="1" ht="35.1" customHeight="1">
      <c r="A570" s="18" t="s">
        <v>489</v>
      </c>
      <c r="B570" s="11" t="s">
        <v>491</v>
      </c>
      <c r="C570" s="12" t="s">
        <v>491</v>
      </c>
      <c r="D570" s="6" t="s">
        <v>459</v>
      </c>
      <c r="E570" s="18" t="s">
        <v>137</v>
      </c>
      <c r="F570" s="6" t="s">
        <v>489</v>
      </c>
      <c r="G570" s="18" t="str">
        <f>+VLOOKUP(F570,[1]Лист_1!$A:$C,2,0)</f>
        <v>771471197321</v>
      </c>
      <c r="H570" s="7">
        <v>1</v>
      </c>
      <c r="I570" s="26"/>
    </row>
    <row r="571" spans="1:9" s="13" customFormat="1" ht="35.1" customHeight="1">
      <c r="A571" s="18" t="s">
        <v>663</v>
      </c>
      <c r="B571" s="11" t="s">
        <v>491</v>
      </c>
      <c r="C571" s="12" t="s">
        <v>491</v>
      </c>
      <c r="D571" s="6" t="s">
        <v>459</v>
      </c>
      <c r="E571" s="18" t="s">
        <v>137</v>
      </c>
      <c r="F571" s="6" t="s">
        <v>663</v>
      </c>
      <c r="G571" s="18" t="str">
        <f>+VLOOKUP(F571,[1]Лист_1!$A:$C,2,0)</f>
        <v>400500642134</v>
      </c>
      <c r="H571" s="7">
        <v>1</v>
      </c>
      <c r="I571" s="26"/>
    </row>
    <row r="572" spans="1:9" s="13" customFormat="1" ht="35.1" customHeight="1">
      <c r="A572" s="19" t="s">
        <v>25</v>
      </c>
      <c r="B572" s="11" t="s">
        <v>491</v>
      </c>
      <c r="C572" s="12" t="s">
        <v>491</v>
      </c>
      <c r="D572" s="6" t="s">
        <v>905</v>
      </c>
      <c r="E572" s="32" t="s">
        <v>907</v>
      </c>
      <c r="F572" s="28" t="s">
        <v>66</v>
      </c>
      <c r="G572" s="18"/>
      <c r="H572" s="7">
        <v>1</v>
      </c>
      <c r="I572" s="26"/>
    </row>
    <row r="573" spans="1:9" s="13" customFormat="1" ht="35.1" customHeight="1">
      <c r="A573" s="19" t="s">
        <v>25</v>
      </c>
      <c r="B573" s="11" t="s">
        <v>491</v>
      </c>
      <c r="C573" s="12" t="s">
        <v>491</v>
      </c>
      <c r="D573" s="6" t="s">
        <v>906</v>
      </c>
      <c r="E573" s="32" t="s">
        <v>907</v>
      </c>
      <c r="F573" s="28" t="s">
        <v>66</v>
      </c>
      <c r="G573" s="18"/>
      <c r="H573" s="7">
        <v>1</v>
      </c>
      <c r="I573" s="26"/>
    </row>
    <row r="574" spans="1:9" s="13" customFormat="1" ht="35.1" customHeight="1">
      <c r="A574" s="6" t="s">
        <v>493</v>
      </c>
      <c r="B574" s="11" t="s">
        <v>491</v>
      </c>
      <c r="C574" s="12" t="s">
        <v>491</v>
      </c>
      <c r="D574" s="6" t="s">
        <v>460</v>
      </c>
      <c r="E574" s="6" t="s">
        <v>14</v>
      </c>
      <c r="F574" s="6" t="s">
        <v>493</v>
      </c>
      <c r="G574" s="18" t="str">
        <f>+VLOOKUP(F574,[1]Лист_1!$A:$C,2,0)</f>
        <v>772487981501</v>
      </c>
      <c r="H574" s="7">
        <v>1</v>
      </c>
      <c r="I574" s="26"/>
    </row>
    <row r="575" spans="1:9" s="13" customFormat="1" ht="35.1" customHeight="1">
      <c r="A575" s="6" t="s">
        <v>492</v>
      </c>
      <c r="B575" s="11" t="s">
        <v>491</v>
      </c>
      <c r="C575" s="12" t="s">
        <v>491</v>
      </c>
      <c r="D575" s="6" t="s">
        <v>460</v>
      </c>
      <c r="E575" s="6" t="s">
        <v>617</v>
      </c>
      <c r="F575" s="6" t="s">
        <v>492</v>
      </c>
      <c r="G575" s="18" t="str">
        <f>+VLOOKUP(F575,[1]Лист_1!$A:$C,2,0)</f>
        <v>645200910953</v>
      </c>
      <c r="H575" s="7">
        <v>1</v>
      </c>
      <c r="I575" s="26"/>
    </row>
    <row r="576" spans="1:9" s="13" customFormat="1" ht="35.1" customHeight="1">
      <c r="A576" s="6" t="s">
        <v>496</v>
      </c>
      <c r="B576" s="11" t="s">
        <v>491</v>
      </c>
      <c r="C576" s="12" t="s">
        <v>491</v>
      </c>
      <c r="D576" s="6" t="s">
        <v>461</v>
      </c>
      <c r="E576" s="6" t="s">
        <v>445</v>
      </c>
      <c r="F576" s="6" t="s">
        <v>496</v>
      </c>
      <c r="G576" s="18" t="str">
        <f>+VLOOKUP(F576,[1]Лист_1!$A:$C,2,0)</f>
        <v>771505654160</v>
      </c>
      <c r="H576" s="7">
        <v>1</v>
      </c>
      <c r="I576" s="26"/>
    </row>
    <row r="577" spans="1:9" s="13" customFormat="1" ht="35.1" customHeight="1">
      <c r="A577" s="6" t="s">
        <v>495</v>
      </c>
      <c r="B577" s="11" t="s">
        <v>491</v>
      </c>
      <c r="C577" s="12" t="s">
        <v>491</v>
      </c>
      <c r="D577" s="6" t="s">
        <v>461</v>
      </c>
      <c r="E577" s="6" t="s">
        <v>617</v>
      </c>
      <c r="F577" s="6" t="s">
        <v>495</v>
      </c>
      <c r="G577" s="18" t="str">
        <f>+VLOOKUP(F577,[1]Лист_1!$A:$C,2,0)</f>
        <v>773002300418</v>
      </c>
      <c r="H577" s="7">
        <v>1</v>
      </c>
      <c r="I577" s="26"/>
    </row>
    <row r="578" spans="1:9" s="13" customFormat="1" ht="35.1" customHeight="1">
      <c r="A578" s="6" t="s">
        <v>494</v>
      </c>
      <c r="B578" s="11" t="s">
        <v>491</v>
      </c>
      <c r="C578" s="12" t="s">
        <v>491</v>
      </c>
      <c r="D578" s="6" t="s">
        <v>461</v>
      </c>
      <c r="E578" s="6" t="s">
        <v>617</v>
      </c>
      <c r="F578" s="6" t="s">
        <v>494</v>
      </c>
      <c r="G578" s="18" t="str">
        <f>+VLOOKUP(F578,[1]Лист_1!$A:$C,2,0)</f>
        <v>667906735700</v>
      </c>
      <c r="H578" s="7">
        <v>1</v>
      </c>
      <c r="I578" s="26"/>
    </row>
    <row r="579" spans="1:9" s="13" customFormat="1" ht="35.1" customHeight="1">
      <c r="A579" s="6" t="s">
        <v>499</v>
      </c>
      <c r="B579" s="11" t="s">
        <v>491</v>
      </c>
      <c r="C579" s="12" t="s">
        <v>491</v>
      </c>
      <c r="D579" s="6" t="s">
        <v>461</v>
      </c>
      <c r="E579" s="6" t="s">
        <v>617</v>
      </c>
      <c r="F579" s="6" t="s">
        <v>499</v>
      </c>
      <c r="G579" s="18" t="str">
        <f>+VLOOKUP(F579,[1]Лист_1!$A:$C,2,0)</f>
        <v>560707953539</v>
      </c>
      <c r="H579" s="7">
        <v>1</v>
      </c>
      <c r="I579" s="26"/>
    </row>
    <row r="580" spans="1:9" s="13" customFormat="1" ht="35.1" customHeight="1">
      <c r="A580" s="6" t="s">
        <v>497</v>
      </c>
      <c r="B580" s="11" t="s">
        <v>491</v>
      </c>
      <c r="C580" s="12" t="s">
        <v>491</v>
      </c>
      <c r="D580" s="6" t="s">
        <v>461</v>
      </c>
      <c r="E580" s="6" t="s">
        <v>137</v>
      </c>
      <c r="F580" s="6" t="s">
        <v>497</v>
      </c>
      <c r="G580" s="18" t="str">
        <f>+VLOOKUP(F580,[1]Лист_1!$A:$C,2,0)</f>
        <v>212406394376</v>
      </c>
      <c r="H580" s="7">
        <v>1</v>
      </c>
      <c r="I580" s="26"/>
    </row>
    <row r="581" spans="1:9" s="13" customFormat="1" ht="35.1" customHeight="1">
      <c r="A581" s="6" t="s">
        <v>500</v>
      </c>
      <c r="B581" s="11" t="s">
        <v>491</v>
      </c>
      <c r="C581" s="12" t="s">
        <v>491</v>
      </c>
      <c r="D581" s="6" t="s">
        <v>462</v>
      </c>
      <c r="E581" s="6" t="s">
        <v>445</v>
      </c>
      <c r="F581" s="6" t="s">
        <v>500</v>
      </c>
      <c r="G581" s="18" t="str">
        <f>+VLOOKUP(F581,[1]Лист_1!$A:$C,2,0)</f>
        <v>770170321358</v>
      </c>
      <c r="H581" s="7">
        <v>1</v>
      </c>
      <c r="I581" s="26"/>
    </row>
    <row r="582" spans="1:9" s="13" customFormat="1" ht="35.1" customHeight="1">
      <c r="A582" s="6" t="s">
        <v>498</v>
      </c>
      <c r="B582" s="11" t="s">
        <v>491</v>
      </c>
      <c r="C582" s="12" t="s">
        <v>491</v>
      </c>
      <c r="D582" s="6" t="s">
        <v>462</v>
      </c>
      <c r="E582" s="6" t="s">
        <v>617</v>
      </c>
      <c r="F582" s="6" t="s">
        <v>498</v>
      </c>
      <c r="G582" s="18" t="str">
        <f>+VLOOKUP(F582,[1]Лист_1!$A:$C,2,0)</f>
        <v>772703667010</v>
      </c>
      <c r="H582" s="7">
        <v>1</v>
      </c>
      <c r="I582" s="26"/>
    </row>
    <row r="583" spans="1:9" s="13" customFormat="1" ht="35.1" customHeight="1">
      <c r="A583" s="28" t="s">
        <v>25</v>
      </c>
      <c r="B583" s="11" t="s">
        <v>491</v>
      </c>
      <c r="C583" s="12" t="s">
        <v>491</v>
      </c>
      <c r="D583" s="6" t="s">
        <v>462</v>
      </c>
      <c r="E583" s="6" t="s">
        <v>137</v>
      </c>
      <c r="F583" s="28" t="s">
        <v>66</v>
      </c>
      <c r="G583" s="18"/>
      <c r="H583" s="7">
        <v>1</v>
      </c>
      <c r="I583" s="26"/>
    </row>
    <row r="584" spans="1:9" s="13" customFormat="1" ht="35.1" customHeight="1">
      <c r="A584" s="6" t="s">
        <v>476</v>
      </c>
      <c r="B584" s="11" t="s">
        <v>491</v>
      </c>
      <c r="C584" s="12" t="s">
        <v>491</v>
      </c>
      <c r="D584" s="6" t="s">
        <v>408</v>
      </c>
      <c r="E584" s="6" t="s">
        <v>14</v>
      </c>
      <c r="F584" s="6" t="s">
        <v>476</v>
      </c>
      <c r="G584" s="18" t="str">
        <f>+VLOOKUP(F584,[1]Лист_1!$A:$C,2,0)</f>
        <v>027900845944</v>
      </c>
      <c r="H584" s="7">
        <v>1</v>
      </c>
      <c r="I584" s="26"/>
    </row>
    <row r="585" spans="1:9" s="13" customFormat="1" ht="35.1" customHeight="1">
      <c r="A585" s="29" t="s">
        <v>642</v>
      </c>
      <c r="B585" s="11" t="s">
        <v>491</v>
      </c>
      <c r="C585" s="12" t="s">
        <v>491</v>
      </c>
      <c r="D585" s="6" t="s">
        <v>408</v>
      </c>
      <c r="E585" s="6" t="s">
        <v>15</v>
      </c>
      <c r="F585" s="29" t="s">
        <v>642</v>
      </c>
      <c r="G585" s="18" t="str">
        <f>+VLOOKUP(F585,[1]Лист_1!$A:$C,2,0)</f>
        <v>261904623893</v>
      </c>
      <c r="H585" s="7">
        <v>1</v>
      </c>
      <c r="I585" s="26"/>
    </row>
    <row r="586" spans="1:9" s="13" customFormat="1" ht="35.1" customHeight="1">
      <c r="A586" s="29" t="s">
        <v>691</v>
      </c>
      <c r="B586" s="11" t="s">
        <v>491</v>
      </c>
      <c r="C586" s="12" t="s">
        <v>491</v>
      </c>
      <c r="D586" s="6" t="s">
        <v>408</v>
      </c>
      <c r="E586" s="6" t="s">
        <v>614</v>
      </c>
      <c r="F586" s="29" t="s">
        <v>691</v>
      </c>
      <c r="G586" s="18" t="str">
        <f>+VLOOKUP(F586,[1]Лист_1!$A:$C,2,0)</f>
        <v>691700227500</v>
      </c>
      <c r="H586" s="7">
        <v>1</v>
      </c>
      <c r="I586" s="26"/>
    </row>
    <row r="587" spans="1:9" s="13" customFormat="1" ht="35.1" customHeight="1">
      <c r="A587" s="29" t="s">
        <v>702</v>
      </c>
      <c r="B587" s="11" t="s">
        <v>491</v>
      </c>
      <c r="C587" s="12" t="s">
        <v>491</v>
      </c>
      <c r="D587" s="6" t="s">
        <v>408</v>
      </c>
      <c r="E587" s="6" t="s">
        <v>614</v>
      </c>
      <c r="F587" s="29" t="s">
        <v>702</v>
      </c>
      <c r="G587" s="18" t="str">
        <f>+VLOOKUP(F587,[1]Лист_1!$A:$C,2,0)</f>
        <v>263014280727</v>
      </c>
      <c r="H587" s="7">
        <v>1</v>
      </c>
      <c r="I587" s="26"/>
    </row>
    <row r="588" spans="1:9" s="13" customFormat="1" ht="35.1" customHeight="1">
      <c r="A588" s="29" t="s">
        <v>701</v>
      </c>
      <c r="B588" s="11" t="s">
        <v>491</v>
      </c>
      <c r="C588" s="12" t="s">
        <v>491</v>
      </c>
      <c r="D588" s="6" t="s">
        <v>408</v>
      </c>
      <c r="E588" s="6" t="s">
        <v>614</v>
      </c>
      <c r="F588" s="29" t="s">
        <v>701</v>
      </c>
      <c r="G588" s="18" t="str">
        <f>+VLOOKUP(F588,[1]Лист_1!$A:$C,2,0)</f>
        <v>504701204035</v>
      </c>
      <c r="H588" s="7">
        <v>1</v>
      </c>
      <c r="I588" s="26"/>
    </row>
    <row r="589" spans="1:9" s="13" customFormat="1" ht="35.1" customHeight="1">
      <c r="A589" s="29" t="s">
        <v>768</v>
      </c>
      <c r="B589" s="11" t="s">
        <v>491</v>
      </c>
      <c r="C589" s="12" t="s">
        <v>491</v>
      </c>
      <c r="D589" s="6" t="s">
        <v>408</v>
      </c>
      <c r="E589" s="6" t="s">
        <v>614</v>
      </c>
      <c r="F589" s="29" t="s">
        <v>768</v>
      </c>
      <c r="G589" s="18" t="str">
        <f>+VLOOKUP(F589,[1]Лист_1!$A:$C,2,0)</f>
        <v>773610009839</v>
      </c>
      <c r="H589" s="7">
        <v>1</v>
      </c>
      <c r="I589" s="26"/>
    </row>
    <row r="590" spans="1:9" s="13" customFormat="1" ht="35.1" customHeight="1">
      <c r="A590" s="29" t="s">
        <v>842</v>
      </c>
      <c r="B590" s="11" t="s">
        <v>491</v>
      </c>
      <c r="C590" s="12" t="s">
        <v>491</v>
      </c>
      <c r="D590" s="6" t="s">
        <v>408</v>
      </c>
      <c r="E590" s="6" t="s">
        <v>614</v>
      </c>
      <c r="F590" s="29" t="s">
        <v>842</v>
      </c>
      <c r="G590" s="18" t="str">
        <f>+VLOOKUP(F590,[1]Лист_1!$A:$C,2,0)</f>
        <v>644202296889</v>
      </c>
      <c r="H590" s="7">
        <v>1</v>
      </c>
      <c r="I590" s="26"/>
    </row>
    <row r="591" spans="1:9" s="13" customFormat="1" ht="35.1" customHeight="1">
      <c r="A591" s="29" t="s">
        <v>645</v>
      </c>
      <c r="B591" s="11" t="s">
        <v>491</v>
      </c>
      <c r="C591" s="12" t="s">
        <v>491</v>
      </c>
      <c r="D591" s="6" t="s">
        <v>408</v>
      </c>
      <c r="E591" s="6" t="s">
        <v>616</v>
      </c>
      <c r="F591" s="29" t="s">
        <v>645</v>
      </c>
      <c r="G591" s="18" t="str">
        <f>+VLOOKUP(F591,[1]Лист_1!$A:$C,2,0)</f>
        <v>772070057400</v>
      </c>
      <c r="H591" s="7">
        <v>1</v>
      </c>
      <c r="I591" s="26"/>
    </row>
    <row r="592" spans="1:9" s="13" customFormat="1" ht="35.1" customHeight="1">
      <c r="A592" s="28" t="s">
        <v>25</v>
      </c>
      <c r="B592" s="11" t="s">
        <v>491</v>
      </c>
      <c r="C592" s="12" t="s">
        <v>491</v>
      </c>
      <c r="D592" s="6" t="s">
        <v>408</v>
      </c>
      <c r="E592" s="6" t="s">
        <v>445</v>
      </c>
      <c r="F592" s="28" t="s">
        <v>66</v>
      </c>
      <c r="G592" s="18"/>
      <c r="H592" s="7">
        <v>1</v>
      </c>
      <c r="I592" s="26"/>
    </row>
    <row r="593" spans="1:9" s="13" customFormat="1" ht="35.1" customHeight="1">
      <c r="A593" s="29" t="s">
        <v>384</v>
      </c>
      <c r="B593" s="11" t="s">
        <v>491</v>
      </c>
      <c r="C593" s="12" t="s">
        <v>491</v>
      </c>
      <c r="D593" s="6" t="s">
        <v>408</v>
      </c>
      <c r="E593" s="6" t="s">
        <v>721</v>
      </c>
      <c r="F593" s="29" t="s">
        <v>384</v>
      </c>
      <c r="G593" s="18" t="str">
        <f>+VLOOKUP(F593,[1]Лист_1!$A:$C,2,0)</f>
        <v>772349393544</v>
      </c>
      <c r="H593" s="7">
        <v>1</v>
      </c>
      <c r="I593" s="26"/>
    </row>
    <row r="594" spans="1:9" s="13" customFormat="1" ht="35.1" customHeight="1">
      <c r="A594" s="29" t="s">
        <v>704</v>
      </c>
      <c r="B594" s="11" t="s">
        <v>491</v>
      </c>
      <c r="C594" s="12" t="s">
        <v>491</v>
      </c>
      <c r="D594" s="6" t="s">
        <v>408</v>
      </c>
      <c r="E594" s="6" t="s">
        <v>721</v>
      </c>
      <c r="F594" s="29" t="s">
        <v>704</v>
      </c>
      <c r="G594" s="18" t="str">
        <f>+VLOOKUP(F594,[1]Лист_1!$A:$C,2,0)</f>
        <v>772379027545</v>
      </c>
      <c r="H594" s="7">
        <v>1</v>
      </c>
      <c r="I594" s="26"/>
    </row>
    <row r="595" spans="1:9" s="13" customFormat="1" ht="35.1" customHeight="1">
      <c r="A595" s="28" t="s">
        <v>878</v>
      </c>
      <c r="B595" s="11" t="s">
        <v>491</v>
      </c>
      <c r="C595" s="12" t="s">
        <v>491</v>
      </c>
      <c r="D595" s="6" t="s">
        <v>408</v>
      </c>
      <c r="E595" s="6" t="s">
        <v>137</v>
      </c>
      <c r="F595" s="28" t="s">
        <v>66</v>
      </c>
      <c r="G595" s="18"/>
      <c r="H595" s="7">
        <v>0.5</v>
      </c>
      <c r="I595" s="26"/>
    </row>
    <row r="596" spans="1:9" s="13" customFormat="1" ht="35.1" customHeight="1">
      <c r="A596" s="29" t="s">
        <v>930</v>
      </c>
      <c r="B596" s="11" t="s">
        <v>491</v>
      </c>
      <c r="C596" s="12" t="s">
        <v>491</v>
      </c>
      <c r="D596" s="6" t="s">
        <v>408</v>
      </c>
      <c r="E596" s="6" t="s">
        <v>137</v>
      </c>
      <c r="F596" s="29" t="s">
        <v>930</v>
      </c>
      <c r="G596" s="18" t="str">
        <f>+VLOOKUP(F596,[1]Лист_1!$A:$C,2,0)</f>
        <v>481100896112</v>
      </c>
      <c r="H596" s="7">
        <v>0.5</v>
      </c>
      <c r="I596" s="26"/>
    </row>
    <row r="597" spans="1:9" s="13" customFormat="1" ht="35.1" customHeight="1">
      <c r="A597" s="28" t="s">
        <v>25</v>
      </c>
      <c r="B597" s="11" t="s">
        <v>491</v>
      </c>
      <c r="C597" s="12" t="s">
        <v>491</v>
      </c>
      <c r="D597" s="6" t="s">
        <v>408</v>
      </c>
      <c r="E597" s="6" t="s">
        <v>137</v>
      </c>
      <c r="F597" s="28" t="s">
        <v>66</v>
      </c>
      <c r="G597" s="18"/>
      <c r="H597" s="7">
        <v>1</v>
      </c>
      <c r="I597" s="26"/>
    </row>
    <row r="598" spans="1:9" s="13" customFormat="1" ht="35.1" customHeight="1">
      <c r="A598" s="28" t="s">
        <v>25</v>
      </c>
      <c r="B598" s="11" t="s">
        <v>491</v>
      </c>
      <c r="C598" s="12" t="s">
        <v>491</v>
      </c>
      <c r="D598" s="6" t="s">
        <v>408</v>
      </c>
      <c r="E598" s="6" t="s">
        <v>137</v>
      </c>
      <c r="F598" s="28" t="s">
        <v>66</v>
      </c>
      <c r="G598" s="18"/>
      <c r="H598" s="7">
        <v>1</v>
      </c>
      <c r="I598" s="26"/>
    </row>
    <row r="599" spans="1:9" s="13" customFormat="1" ht="35.1" customHeight="1">
      <c r="A599" s="6" t="s">
        <v>397</v>
      </c>
      <c r="B599" s="11" t="s">
        <v>491</v>
      </c>
      <c r="C599" s="12" t="s">
        <v>491</v>
      </c>
      <c r="D599" s="6" t="s">
        <v>308</v>
      </c>
      <c r="E599" s="6" t="s">
        <v>14</v>
      </c>
      <c r="F599" s="6" t="s">
        <v>397</v>
      </c>
      <c r="G599" s="18" t="str">
        <f>+VLOOKUP(F599,[1]Лист_1!$A:$C,2,0)</f>
        <v>501603073910</v>
      </c>
      <c r="H599" s="7">
        <v>1</v>
      </c>
      <c r="I599" s="26"/>
    </row>
    <row r="600" spans="1:9" s="13" customFormat="1" ht="35.1" customHeight="1">
      <c r="A600" s="6" t="s">
        <v>749</v>
      </c>
      <c r="B600" s="11" t="s">
        <v>491</v>
      </c>
      <c r="C600" s="12" t="s">
        <v>491</v>
      </c>
      <c r="D600" s="6" t="s">
        <v>308</v>
      </c>
      <c r="E600" s="6" t="s">
        <v>309</v>
      </c>
      <c r="F600" s="6" t="s">
        <v>749</v>
      </c>
      <c r="G600" s="18" t="str">
        <f>+VLOOKUP(F600,[1]Лист_1!$A:$C,2,0)</f>
        <v>500115981441</v>
      </c>
      <c r="H600" s="7">
        <v>1</v>
      </c>
      <c r="I600" s="26"/>
    </row>
    <row r="601" spans="1:9" s="13" customFormat="1" ht="35.1" customHeight="1">
      <c r="A601" s="29" t="s">
        <v>654</v>
      </c>
      <c r="B601" s="11" t="s">
        <v>491</v>
      </c>
      <c r="C601" s="12" t="s">
        <v>491</v>
      </c>
      <c r="D601" s="6" t="s">
        <v>308</v>
      </c>
      <c r="E601" s="6" t="s">
        <v>407</v>
      </c>
      <c r="F601" s="29" t="s">
        <v>654</v>
      </c>
      <c r="G601" s="18" t="str">
        <f>+VLOOKUP(F601,[1]Лист_1!$A:$C,2,0)</f>
        <v>331107734243</v>
      </c>
      <c r="H601" s="7">
        <v>1</v>
      </c>
      <c r="I601" s="26"/>
    </row>
    <row r="602" spans="1:9" s="13" customFormat="1" ht="49.5" customHeight="1">
      <c r="A602" s="6" t="s">
        <v>644</v>
      </c>
      <c r="B602" s="11" t="s">
        <v>491</v>
      </c>
      <c r="C602" s="12" t="s">
        <v>491</v>
      </c>
      <c r="D602" s="6" t="s">
        <v>308</v>
      </c>
      <c r="E602" s="6" t="s">
        <v>628</v>
      </c>
      <c r="F602" s="6" t="s">
        <v>644</v>
      </c>
      <c r="G602" s="18" t="str">
        <f>+VLOOKUP(F602,[1]Лист_1!$A:$C,2,0)</f>
        <v>121513761008</v>
      </c>
      <c r="H602" s="7">
        <v>0.35</v>
      </c>
      <c r="I602" s="26"/>
    </row>
    <row r="603" spans="1:9" s="13" customFormat="1" ht="35.1" customHeight="1">
      <c r="A603" s="28" t="s">
        <v>66</v>
      </c>
      <c r="B603" s="11" t="s">
        <v>491</v>
      </c>
      <c r="C603" s="12" t="s">
        <v>491</v>
      </c>
      <c r="D603" s="6" t="s">
        <v>308</v>
      </c>
      <c r="E603" s="6" t="s">
        <v>628</v>
      </c>
      <c r="F603" s="28" t="s">
        <v>66</v>
      </c>
      <c r="G603" s="18"/>
      <c r="H603" s="7">
        <v>0.65</v>
      </c>
      <c r="I603" s="26"/>
    </row>
    <row r="604" spans="1:9" s="13" customFormat="1" ht="35.1" customHeight="1">
      <c r="A604" s="6" t="s">
        <v>709</v>
      </c>
      <c r="B604" s="11" t="s">
        <v>491</v>
      </c>
      <c r="C604" s="12" t="s">
        <v>491</v>
      </c>
      <c r="D604" s="6" t="s">
        <v>308</v>
      </c>
      <c r="E604" s="6" t="s">
        <v>628</v>
      </c>
      <c r="F604" s="6" t="s">
        <v>709</v>
      </c>
      <c r="G604" s="18" t="str">
        <f>+VLOOKUP(F604,[1]Лист_1!$A:$C,2,0)</f>
        <v>390103690577</v>
      </c>
      <c r="H604" s="7">
        <v>1</v>
      </c>
      <c r="I604" s="26"/>
    </row>
    <row r="605" spans="1:9" s="13" customFormat="1" ht="35.1" customHeight="1">
      <c r="A605" s="6" t="s">
        <v>401</v>
      </c>
      <c r="B605" s="11" t="s">
        <v>491</v>
      </c>
      <c r="C605" s="12" t="s">
        <v>491</v>
      </c>
      <c r="D605" s="6" t="s">
        <v>308</v>
      </c>
      <c r="E605" s="6" t="s">
        <v>723</v>
      </c>
      <c r="F605" s="6" t="s">
        <v>401</v>
      </c>
      <c r="G605" s="18" t="str">
        <f>+VLOOKUP(F605,[1]Лист_1!$A:$C,2,0)</f>
        <v>502802504828</v>
      </c>
      <c r="H605" s="7">
        <v>1</v>
      </c>
      <c r="I605" s="26"/>
    </row>
    <row r="606" spans="1:9" s="13" customFormat="1" ht="35.1" customHeight="1">
      <c r="A606" s="6" t="s">
        <v>650</v>
      </c>
      <c r="B606" s="11" t="s">
        <v>491</v>
      </c>
      <c r="C606" s="12" t="s">
        <v>491</v>
      </c>
      <c r="D606" s="6" t="s">
        <v>308</v>
      </c>
      <c r="E606" s="6" t="s">
        <v>723</v>
      </c>
      <c r="F606" s="6" t="s">
        <v>650</v>
      </c>
      <c r="G606" s="18" t="str">
        <f>+VLOOKUP(F606,[1]Лист_1!$A:$C,2,0)</f>
        <v>381504413826</v>
      </c>
      <c r="H606" s="7">
        <v>1</v>
      </c>
      <c r="I606" s="26"/>
    </row>
    <row r="607" spans="1:9" s="13" customFormat="1" ht="35.1" customHeight="1">
      <c r="A607" s="6" t="s">
        <v>703</v>
      </c>
      <c r="B607" s="11" t="s">
        <v>491</v>
      </c>
      <c r="C607" s="12" t="s">
        <v>491</v>
      </c>
      <c r="D607" s="6" t="s">
        <v>308</v>
      </c>
      <c r="E607" s="6" t="s">
        <v>723</v>
      </c>
      <c r="F607" s="6" t="s">
        <v>703</v>
      </c>
      <c r="G607" s="18" t="str">
        <f>+VLOOKUP(F607,[1]Лист_1!$A:$C,2,0)</f>
        <v>111400709201</v>
      </c>
      <c r="H607" s="7">
        <v>1</v>
      </c>
      <c r="I607" s="26"/>
    </row>
    <row r="608" spans="1:9" s="13" customFormat="1" ht="35.1" customHeight="1">
      <c r="A608" s="6" t="s">
        <v>822</v>
      </c>
      <c r="B608" s="11" t="s">
        <v>491</v>
      </c>
      <c r="C608" s="12" t="s">
        <v>491</v>
      </c>
      <c r="D608" s="6" t="s">
        <v>308</v>
      </c>
      <c r="E608" s="6" t="s">
        <v>723</v>
      </c>
      <c r="F608" s="6" t="s">
        <v>822</v>
      </c>
      <c r="G608" s="18" t="str">
        <f>+VLOOKUP(F608,[1]Лист_1!$A:$C,2,0)</f>
        <v>772406878033</v>
      </c>
      <c r="H608" s="7">
        <v>1</v>
      </c>
      <c r="I608" s="26"/>
    </row>
    <row r="609" spans="1:9" s="13" customFormat="1" ht="35.1" customHeight="1">
      <c r="A609" s="6" t="s">
        <v>471</v>
      </c>
      <c r="B609" s="11" t="s">
        <v>491</v>
      </c>
      <c r="C609" s="12" t="s">
        <v>491</v>
      </c>
      <c r="D609" s="6" t="s">
        <v>308</v>
      </c>
      <c r="E609" s="6" t="s">
        <v>74</v>
      </c>
      <c r="F609" s="6" t="s">
        <v>471</v>
      </c>
      <c r="G609" s="18" t="str">
        <f>+VLOOKUP(F609,[1]Лист_1!$A:$C,2,0)</f>
        <v>632310334098</v>
      </c>
      <c r="H609" s="7">
        <v>1</v>
      </c>
      <c r="I609" s="26"/>
    </row>
    <row r="610" spans="1:9" s="13" customFormat="1" ht="35.1" customHeight="1">
      <c r="A610" s="6" t="s">
        <v>734</v>
      </c>
      <c r="B610" s="11" t="s">
        <v>491</v>
      </c>
      <c r="C610" s="12" t="s">
        <v>491</v>
      </c>
      <c r="D610" s="6" t="s">
        <v>308</v>
      </c>
      <c r="E610" s="6" t="s">
        <v>74</v>
      </c>
      <c r="F610" s="6" t="s">
        <v>734</v>
      </c>
      <c r="G610" s="18" t="str">
        <f>+VLOOKUP(F610,[1]Лист_1!$A:$C,2,0)</f>
        <v>463240687991</v>
      </c>
      <c r="H610" s="7">
        <v>1</v>
      </c>
      <c r="I610" s="26"/>
    </row>
    <row r="611" spans="1:9" s="13" customFormat="1" ht="35.1" customHeight="1">
      <c r="A611" s="6" t="s">
        <v>393</v>
      </c>
      <c r="B611" s="11" t="s">
        <v>491</v>
      </c>
      <c r="C611" s="12" t="s">
        <v>491</v>
      </c>
      <c r="D611" s="6" t="s">
        <v>308</v>
      </c>
      <c r="E611" s="6" t="s">
        <v>74</v>
      </c>
      <c r="F611" s="6" t="s">
        <v>393</v>
      </c>
      <c r="G611" s="18" t="str">
        <f>+VLOOKUP(F611,[1]Лист_1!$A:$C,2,0)</f>
        <v>772508481904</v>
      </c>
      <c r="H611" s="7">
        <v>1</v>
      </c>
      <c r="I611" s="26"/>
    </row>
    <row r="612" spans="1:9" s="13" customFormat="1" ht="35.1" customHeight="1">
      <c r="A612" s="6" t="s">
        <v>394</v>
      </c>
      <c r="B612" s="11" t="s">
        <v>491</v>
      </c>
      <c r="C612" s="12" t="s">
        <v>491</v>
      </c>
      <c r="D612" s="6" t="s">
        <v>308</v>
      </c>
      <c r="E612" s="6" t="s">
        <v>74</v>
      </c>
      <c r="F612" s="6" t="s">
        <v>394</v>
      </c>
      <c r="G612" s="18" t="str">
        <f>+VLOOKUP(F612,[1]Лист_1!$A:$C,2,0)</f>
        <v>614501662608</v>
      </c>
      <c r="H612" s="7">
        <v>1</v>
      </c>
      <c r="I612" s="26"/>
    </row>
    <row r="613" spans="1:9" s="13" customFormat="1" ht="35.1" customHeight="1">
      <c r="A613" s="18" t="s">
        <v>818</v>
      </c>
      <c r="B613" s="11" t="s">
        <v>491</v>
      </c>
      <c r="C613" s="12" t="s">
        <v>491</v>
      </c>
      <c r="D613" s="18" t="s">
        <v>908</v>
      </c>
      <c r="E613" s="18" t="s">
        <v>12</v>
      </c>
      <c r="F613" s="6" t="s">
        <v>818</v>
      </c>
      <c r="G613" s="18" t="str">
        <f>+VLOOKUP(F613,[1]Лист_1!$A:$C,2,0)</f>
        <v>771682599005</v>
      </c>
      <c r="H613" s="7">
        <v>1</v>
      </c>
      <c r="I613" s="26"/>
    </row>
    <row r="614" spans="1:9" s="13" customFormat="1" ht="35.1" customHeight="1">
      <c r="A614" s="6" t="s">
        <v>263</v>
      </c>
      <c r="B614" s="11" t="s">
        <v>491</v>
      </c>
      <c r="C614" s="12" t="s">
        <v>491</v>
      </c>
      <c r="D614" s="6" t="s">
        <v>909</v>
      </c>
      <c r="E614" s="6" t="s">
        <v>715</v>
      </c>
      <c r="F614" s="6" t="s">
        <v>263</v>
      </c>
      <c r="G614" s="18" t="str">
        <f>+VLOOKUP(F614,[1]Лист_1!$A:$C,2,0)</f>
        <v>280115209083</v>
      </c>
      <c r="H614" s="7">
        <v>1</v>
      </c>
      <c r="I614" s="26"/>
    </row>
    <row r="615" spans="1:9" s="13" customFormat="1" ht="35.1" customHeight="1">
      <c r="A615" s="6" t="s">
        <v>483</v>
      </c>
      <c r="B615" s="11" t="s">
        <v>491</v>
      </c>
      <c r="C615" s="12" t="s">
        <v>491</v>
      </c>
      <c r="D615" s="6" t="s">
        <v>909</v>
      </c>
      <c r="E615" s="6" t="s">
        <v>614</v>
      </c>
      <c r="F615" s="6" t="s">
        <v>483</v>
      </c>
      <c r="G615" s="18" t="str">
        <f>+VLOOKUP(F615,[1]Лист_1!$A:$C,2,0)</f>
        <v>501214911158</v>
      </c>
      <c r="H615" s="7">
        <v>1</v>
      </c>
      <c r="I615" s="26"/>
    </row>
    <row r="616" spans="1:9" s="13" customFormat="1" ht="35.1" customHeight="1">
      <c r="A616" s="6" t="s">
        <v>799</v>
      </c>
      <c r="B616" s="11" t="s">
        <v>491</v>
      </c>
      <c r="C616" s="12" t="s">
        <v>491</v>
      </c>
      <c r="D616" s="6" t="s">
        <v>909</v>
      </c>
      <c r="E616" s="6" t="s">
        <v>725</v>
      </c>
      <c r="F616" s="6" t="s">
        <v>799</v>
      </c>
      <c r="G616" s="18" t="str">
        <f>+VLOOKUP(F616,[1]Лист_1!$A:$C,2,0)</f>
        <v>507806304360</v>
      </c>
      <c r="H616" s="7">
        <v>1</v>
      </c>
      <c r="I616" s="26"/>
    </row>
    <row r="617" spans="1:9" s="13" customFormat="1" ht="35.1" customHeight="1">
      <c r="A617" s="6" t="s">
        <v>485</v>
      </c>
      <c r="B617" s="11" t="s">
        <v>491</v>
      </c>
      <c r="C617" s="12" t="s">
        <v>491</v>
      </c>
      <c r="D617" s="6" t="s">
        <v>909</v>
      </c>
      <c r="E617" s="6" t="s">
        <v>618</v>
      </c>
      <c r="F617" s="6" t="s">
        <v>485</v>
      </c>
      <c r="G617" s="18" t="str">
        <f>+VLOOKUP(F617,[1]Лист_1!$A:$C,2,0)</f>
        <v>441400212047</v>
      </c>
      <c r="H617" s="21">
        <v>1</v>
      </c>
      <c r="I617" s="26"/>
    </row>
    <row r="618" spans="1:9" s="13" customFormat="1" ht="35.1" customHeight="1">
      <c r="A618" s="28" t="s">
        <v>310</v>
      </c>
      <c r="B618" s="11" t="s">
        <v>491</v>
      </c>
      <c r="C618" s="12" t="s">
        <v>491</v>
      </c>
      <c r="D618" s="6" t="s">
        <v>909</v>
      </c>
      <c r="E618" s="6" t="s">
        <v>618</v>
      </c>
      <c r="F618" s="28" t="s">
        <v>66</v>
      </c>
      <c r="G618" s="18"/>
      <c r="H618" s="21">
        <v>1</v>
      </c>
      <c r="I618" s="26"/>
    </row>
    <row r="619" spans="1:9" s="13" customFormat="1" ht="35.1" customHeight="1">
      <c r="A619" s="28" t="s">
        <v>25</v>
      </c>
      <c r="B619" s="11" t="s">
        <v>491</v>
      </c>
      <c r="C619" s="12" t="s">
        <v>491</v>
      </c>
      <c r="D619" s="6" t="s">
        <v>909</v>
      </c>
      <c r="E619" s="6" t="s">
        <v>137</v>
      </c>
      <c r="F619" s="28" t="s">
        <v>66</v>
      </c>
      <c r="G619" s="18"/>
      <c r="H619" s="7">
        <v>1</v>
      </c>
      <c r="I619" s="26"/>
    </row>
    <row r="620" spans="1:9" s="13" customFormat="1" ht="35.1" customHeight="1">
      <c r="A620" s="6" t="s">
        <v>917</v>
      </c>
      <c r="B620" s="11" t="s">
        <v>491</v>
      </c>
      <c r="C620" s="12" t="s">
        <v>491</v>
      </c>
      <c r="D620" s="6" t="s">
        <v>909</v>
      </c>
      <c r="E620" s="6" t="s">
        <v>629</v>
      </c>
      <c r="F620" s="6" t="s">
        <v>917</v>
      </c>
      <c r="G620" s="18" t="str">
        <f>+VLOOKUP(F620,[1]Лист_1!$A:$C,2,0)</f>
        <v>771471966880</v>
      </c>
      <c r="H620" s="21">
        <v>1</v>
      </c>
      <c r="I620" s="26"/>
    </row>
    <row r="621" spans="1:9" s="13" customFormat="1" ht="35.1" customHeight="1">
      <c r="A621" s="18" t="s">
        <v>501</v>
      </c>
      <c r="B621" s="11" t="s">
        <v>491</v>
      </c>
      <c r="C621" s="12" t="s">
        <v>491</v>
      </c>
      <c r="D621" s="6" t="s">
        <v>463</v>
      </c>
      <c r="E621" s="18" t="s">
        <v>464</v>
      </c>
      <c r="F621" s="6" t="s">
        <v>501</v>
      </c>
      <c r="G621" s="18" t="str">
        <f>+VLOOKUP(F621,[1]Лист_1!$A:$C,2,0)</f>
        <v>213011972990</v>
      </c>
      <c r="H621" s="7">
        <v>1</v>
      </c>
      <c r="I621" s="26"/>
    </row>
    <row r="622" spans="1:9" s="13" customFormat="1" ht="35.1" customHeight="1">
      <c r="A622" s="19" t="s">
        <v>25</v>
      </c>
      <c r="B622" s="11" t="s">
        <v>491</v>
      </c>
      <c r="C622" s="12" t="s">
        <v>491</v>
      </c>
      <c r="D622" s="6" t="s">
        <v>910</v>
      </c>
      <c r="E622" s="18" t="s">
        <v>26</v>
      </c>
      <c r="F622" s="6" t="s">
        <v>530</v>
      </c>
      <c r="G622" s="18" t="str">
        <f>+VLOOKUP(F622,[1]Лист_1!$A:$C,2,0)</f>
        <v>774360746003</v>
      </c>
      <c r="H622" s="7">
        <v>1</v>
      </c>
      <c r="I622" s="26"/>
    </row>
    <row r="623" spans="1:9" s="13" customFormat="1" ht="35.1" customHeight="1">
      <c r="A623" s="19" t="s">
        <v>25</v>
      </c>
      <c r="B623" s="11" t="s">
        <v>491</v>
      </c>
      <c r="C623" s="12" t="s">
        <v>491</v>
      </c>
      <c r="D623" s="6" t="s">
        <v>910</v>
      </c>
      <c r="E623" s="18" t="s">
        <v>137</v>
      </c>
      <c r="F623" s="28" t="s">
        <v>66</v>
      </c>
      <c r="G623" s="18"/>
      <c r="H623" s="7">
        <v>1</v>
      </c>
      <c r="I623" s="26"/>
    </row>
    <row r="624" spans="1:9" s="13" customFormat="1" ht="35.1" customHeight="1">
      <c r="A624" s="19" t="s">
        <v>25</v>
      </c>
      <c r="B624" s="11" t="s">
        <v>491</v>
      </c>
      <c r="C624" s="12" t="s">
        <v>491</v>
      </c>
      <c r="D624" s="6" t="s">
        <v>910</v>
      </c>
      <c r="E624" s="18" t="s">
        <v>137</v>
      </c>
      <c r="F624" s="28" t="s">
        <v>66</v>
      </c>
      <c r="G624" s="18"/>
      <c r="H624" s="7">
        <v>1</v>
      </c>
      <c r="I624" s="26"/>
    </row>
    <row r="625" spans="1:9" s="13" customFormat="1" ht="35.1" customHeight="1">
      <c r="A625" s="19" t="s">
        <v>25</v>
      </c>
      <c r="B625" s="11" t="s">
        <v>491</v>
      </c>
      <c r="C625" s="12" t="s">
        <v>491</v>
      </c>
      <c r="D625" s="6" t="s">
        <v>911</v>
      </c>
      <c r="E625" s="18" t="s">
        <v>26</v>
      </c>
      <c r="F625" s="28" t="s">
        <v>66</v>
      </c>
      <c r="G625" s="18"/>
      <c r="H625" s="7">
        <v>1</v>
      </c>
      <c r="I625" s="26"/>
    </row>
    <row r="626" spans="1:9" s="13" customFormat="1" ht="35.1" customHeight="1">
      <c r="A626" s="18" t="s">
        <v>652</v>
      </c>
      <c r="B626" s="11" t="s">
        <v>491</v>
      </c>
      <c r="C626" s="12" t="s">
        <v>491</v>
      </c>
      <c r="D626" s="6" t="s">
        <v>911</v>
      </c>
      <c r="E626" s="18" t="s">
        <v>137</v>
      </c>
      <c r="F626" s="6" t="s">
        <v>652</v>
      </c>
      <c r="G626" s="18" t="str">
        <f>+VLOOKUP(F626,[1]Лист_1!$A:$C,2,0)</f>
        <v>270300032370</v>
      </c>
      <c r="H626" s="7">
        <v>1</v>
      </c>
      <c r="I626" s="26"/>
    </row>
    <row r="627" spans="1:9" s="13" customFormat="1" ht="35.1" customHeight="1">
      <c r="A627" s="18" t="s">
        <v>848</v>
      </c>
      <c r="B627" s="11" t="s">
        <v>491</v>
      </c>
      <c r="C627" s="12" t="s">
        <v>491</v>
      </c>
      <c r="D627" s="6" t="s">
        <v>911</v>
      </c>
      <c r="E627" s="18" t="s">
        <v>137</v>
      </c>
      <c r="F627" s="6" t="s">
        <v>848</v>
      </c>
      <c r="G627" s="18" t="str">
        <f>+VLOOKUP(F627,[1]Лист_1!$A:$C,2,0)</f>
        <v>237000619528</v>
      </c>
      <c r="H627" s="7">
        <v>1</v>
      </c>
      <c r="I627" s="26"/>
    </row>
    <row r="628" spans="1:9" s="13" customFormat="1" ht="35.1" customHeight="1">
      <c r="A628" s="19" t="s">
        <v>25</v>
      </c>
      <c r="B628" s="11" t="s">
        <v>491</v>
      </c>
      <c r="C628" s="12" t="s">
        <v>491</v>
      </c>
      <c r="D628" s="6" t="s">
        <v>912</v>
      </c>
      <c r="E628" s="18" t="s">
        <v>26</v>
      </c>
      <c r="F628" s="28" t="s">
        <v>66</v>
      </c>
      <c r="G628" s="18"/>
      <c r="H628" s="7">
        <v>1</v>
      </c>
      <c r="I628" s="26"/>
    </row>
    <row r="629" spans="1:9" s="13" customFormat="1" ht="35.1" customHeight="1">
      <c r="A629" s="19" t="s">
        <v>25</v>
      </c>
      <c r="B629" s="11" t="s">
        <v>491</v>
      </c>
      <c r="C629" s="12" t="s">
        <v>491</v>
      </c>
      <c r="D629" s="6" t="s">
        <v>912</v>
      </c>
      <c r="E629" s="18" t="s">
        <v>137</v>
      </c>
      <c r="F629" s="28" t="s">
        <v>66</v>
      </c>
      <c r="G629" s="18"/>
      <c r="H629" s="7">
        <v>1</v>
      </c>
      <c r="I629" s="26"/>
    </row>
    <row r="630" spans="1:9" s="13" customFormat="1" ht="35.1" customHeight="1">
      <c r="B630" s="44"/>
      <c r="C630" s="44"/>
      <c r="D630" s="44"/>
      <c r="E630" s="44"/>
      <c r="F630" s="51"/>
      <c r="G630" s="44"/>
      <c r="H630" s="14">
        <f>SUM(H531:H629)</f>
        <v>93</v>
      </c>
      <c r="I630" s="37"/>
    </row>
    <row r="631" spans="1:9" s="13" customFormat="1" ht="35.1" customHeight="1">
      <c r="A631" s="6" t="s">
        <v>44</v>
      </c>
      <c r="B631" s="11" t="s">
        <v>50</v>
      </c>
      <c r="C631" s="12" t="s">
        <v>259</v>
      </c>
      <c r="D631" s="6" t="s">
        <v>43</v>
      </c>
      <c r="E631" s="6" t="s">
        <v>40</v>
      </c>
      <c r="F631" s="6" t="s">
        <v>44</v>
      </c>
      <c r="G631" s="18" t="str">
        <f>+VLOOKUP(F631,[1]Лист_1!$A:$C,2,0)</f>
        <v>132602466323</v>
      </c>
      <c r="H631" s="8">
        <v>1</v>
      </c>
      <c r="I631" s="26"/>
    </row>
    <row r="632" spans="1:9" s="13" customFormat="1" ht="35.1" customHeight="1">
      <c r="A632" s="29" t="s">
        <v>674</v>
      </c>
      <c r="B632" s="11" t="s">
        <v>50</v>
      </c>
      <c r="C632" s="12" t="s">
        <v>50</v>
      </c>
      <c r="D632" s="6" t="s">
        <v>600</v>
      </c>
      <c r="E632" s="6" t="s">
        <v>26</v>
      </c>
      <c r="F632" s="29" t="s">
        <v>674</v>
      </c>
      <c r="G632" s="18" t="str">
        <f>+VLOOKUP(F632,[1]Лист_1!$A:$C,2,0)</f>
        <v>434549671421</v>
      </c>
      <c r="H632" s="8">
        <v>1</v>
      </c>
      <c r="I632" s="26"/>
    </row>
    <row r="633" spans="1:9" s="13" customFormat="1" ht="35.1" customHeight="1">
      <c r="A633" s="28" t="s">
        <v>66</v>
      </c>
      <c r="B633" s="11" t="s">
        <v>50</v>
      </c>
      <c r="C633" s="12" t="s">
        <v>50</v>
      </c>
      <c r="D633" s="6" t="s">
        <v>600</v>
      </c>
      <c r="E633" s="6" t="s">
        <v>41</v>
      </c>
      <c r="F633" s="28" t="s">
        <v>66</v>
      </c>
      <c r="G633" s="18"/>
      <c r="H633" s="8">
        <v>1</v>
      </c>
      <c r="I633" s="26"/>
    </row>
    <row r="634" spans="1:9" s="13" customFormat="1" ht="35.1" customHeight="1">
      <c r="A634" s="28" t="s">
        <v>66</v>
      </c>
      <c r="B634" s="11" t="s">
        <v>50</v>
      </c>
      <c r="C634" s="12" t="s">
        <v>50</v>
      </c>
      <c r="D634" s="6" t="s">
        <v>600</v>
      </c>
      <c r="E634" s="6" t="s">
        <v>54</v>
      </c>
      <c r="F634" s="28" t="s">
        <v>66</v>
      </c>
      <c r="G634" s="18"/>
      <c r="H634" s="8">
        <v>1</v>
      </c>
      <c r="I634" s="27"/>
    </row>
    <row r="635" spans="1:9" s="13" customFormat="1" ht="35.1" customHeight="1">
      <c r="A635" s="29" t="s">
        <v>666</v>
      </c>
      <c r="B635" s="11" t="s">
        <v>50</v>
      </c>
      <c r="C635" s="12" t="s">
        <v>50</v>
      </c>
      <c r="D635" s="6" t="s">
        <v>600</v>
      </c>
      <c r="E635" s="6" t="s">
        <v>54</v>
      </c>
      <c r="F635" s="29" t="s">
        <v>666</v>
      </c>
      <c r="G635" s="18" t="str">
        <f>+VLOOKUP(F635,[1]Лист_1!$A:$C,2,0)</f>
        <v>702402105743</v>
      </c>
      <c r="H635" s="8">
        <v>1</v>
      </c>
      <c r="I635" s="26"/>
    </row>
    <row r="636" spans="1:9" s="13" customFormat="1" ht="35.1" customHeight="1">
      <c r="A636" s="28" t="s">
        <v>25</v>
      </c>
      <c r="B636" s="11" t="s">
        <v>50</v>
      </c>
      <c r="C636" s="12" t="s">
        <v>50</v>
      </c>
      <c r="D636" s="6" t="s">
        <v>600</v>
      </c>
      <c r="E636" s="6" t="s">
        <v>54</v>
      </c>
      <c r="F636" s="28" t="s">
        <v>66</v>
      </c>
      <c r="G636" s="18"/>
      <c r="H636" s="8">
        <v>1</v>
      </c>
      <c r="I636" s="26"/>
    </row>
    <row r="637" spans="1:9" s="13" customFormat="1" ht="35.1" customHeight="1">
      <c r="A637" s="6" t="s">
        <v>45</v>
      </c>
      <c r="B637" s="11" t="s">
        <v>50</v>
      </c>
      <c r="C637" s="12" t="s">
        <v>50</v>
      </c>
      <c r="D637" s="6" t="s">
        <v>601</v>
      </c>
      <c r="E637" s="6" t="s">
        <v>26</v>
      </c>
      <c r="F637" s="6" t="s">
        <v>45</v>
      </c>
      <c r="G637" s="18" t="str">
        <f>+VLOOKUP(F637,[1]Лист_1!$A:$C,2,0)</f>
        <v>131600177275</v>
      </c>
      <c r="H637" s="8">
        <v>1</v>
      </c>
      <c r="I637" s="26"/>
    </row>
    <row r="638" spans="1:9" s="13" customFormat="1" ht="35.1" customHeight="1">
      <c r="A638" s="6" t="s">
        <v>49</v>
      </c>
      <c r="B638" s="11" t="s">
        <v>50</v>
      </c>
      <c r="C638" s="12" t="s">
        <v>50</v>
      </c>
      <c r="D638" s="6" t="s">
        <v>601</v>
      </c>
      <c r="E638" s="6" t="s">
        <v>41</v>
      </c>
      <c r="F638" s="6" t="s">
        <v>49</v>
      </c>
      <c r="G638" s="18" t="str">
        <f>+VLOOKUP(F638,[1]Лист_1!$A:$C,2,0)</f>
        <v>772328922525</v>
      </c>
      <c r="H638" s="8">
        <v>0.5</v>
      </c>
      <c r="I638" s="26"/>
    </row>
    <row r="639" spans="1:9" s="13" customFormat="1" ht="35.1" customHeight="1">
      <c r="A639" s="6" t="s">
        <v>486</v>
      </c>
      <c r="B639" s="11" t="s">
        <v>50</v>
      </c>
      <c r="C639" s="12" t="s">
        <v>50</v>
      </c>
      <c r="D639" s="6" t="s">
        <v>601</v>
      </c>
      <c r="E639" s="6" t="s">
        <v>41</v>
      </c>
      <c r="F639" s="6" t="s">
        <v>486</v>
      </c>
      <c r="G639" s="18" t="str">
        <f>+VLOOKUP(F639,[1]Лист_1!$A:$C,2,0)</f>
        <v>301612729671</v>
      </c>
      <c r="H639" s="8">
        <v>0.5</v>
      </c>
      <c r="I639" s="26"/>
    </row>
    <row r="640" spans="1:9" s="13" customFormat="1" ht="35.1" customHeight="1">
      <c r="A640" s="28" t="s">
        <v>25</v>
      </c>
      <c r="B640" s="11" t="s">
        <v>50</v>
      </c>
      <c r="C640" s="12" t="s">
        <v>50</v>
      </c>
      <c r="D640" s="6" t="s">
        <v>601</v>
      </c>
      <c r="E640" s="6" t="s">
        <v>54</v>
      </c>
      <c r="F640" s="28" t="s">
        <v>66</v>
      </c>
      <c r="G640" s="18"/>
      <c r="H640" s="8">
        <v>1</v>
      </c>
      <c r="I640" s="26"/>
    </row>
    <row r="641" spans="1:9" s="13" customFormat="1" ht="35.1" customHeight="1">
      <c r="A641" s="6" t="s">
        <v>508</v>
      </c>
      <c r="B641" s="11" t="s">
        <v>50</v>
      </c>
      <c r="C641" s="12" t="s">
        <v>50</v>
      </c>
      <c r="D641" s="6" t="s">
        <v>601</v>
      </c>
      <c r="E641" s="6" t="s">
        <v>54</v>
      </c>
      <c r="F641" s="6" t="s">
        <v>508</v>
      </c>
      <c r="G641" s="18" t="str">
        <f>+VLOOKUP(F641,[1]Лист_1!$A:$C,2,0)</f>
        <v>772084185497</v>
      </c>
      <c r="H641" s="8">
        <v>1</v>
      </c>
      <c r="I641" s="26"/>
    </row>
    <row r="642" spans="1:9" s="13" customFormat="1" ht="35.1" customHeight="1">
      <c r="A642" s="29" t="s">
        <v>802</v>
      </c>
      <c r="B642" s="11" t="s">
        <v>50</v>
      </c>
      <c r="C642" s="12" t="s">
        <v>50</v>
      </c>
      <c r="D642" s="6" t="s">
        <v>601</v>
      </c>
      <c r="E642" s="6" t="s">
        <v>55</v>
      </c>
      <c r="F642" s="29" t="s">
        <v>802</v>
      </c>
      <c r="G642" s="18" t="str">
        <f>+VLOOKUP(F642,[1]Лист_1!$A:$C,2,0)</f>
        <v>212707107900</v>
      </c>
      <c r="H642" s="8">
        <v>1</v>
      </c>
      <c r="I642" s="26"/>
    </row>
    <row r="643" spans="1:9" s="13" customFormat="1" ht="35.1" customHeight="1">
      <c r="A643" s="6" t="s">
        <v>46</v>
      </c>
      <c r="B643" s="11" t="s">
        <v>50</v>
      </c>
      <c r="C643" s="12" t="s">
        <v>50</v>
      </c>
      <c r="D643" s="6" t="s">
        <v>648</v>
      </c>
      <c r="E643" s="6" t="s">
        <v>26</v>
      </c>
      <c r="F643" s="6" t="s">
        <v>46</v>
      </c>
      <c r="G643" s="18" t="str">
        <f>+VLOOKUP(F643,[1]Лист_1!$A:$C,2,0)</f>
        <v>502708791692</v>
      </c>
      <c r="H643" s="8">
        <v>1</v>
      </c>
      <c r="I643" s="26"/>
    </row>
    <row r="644" spans="1:9" s="13" customFormat="1" ht="35.1" customHeight="1">
      <c r="A644" s="6" t="s">
        <v>47</v>
      </c>
      <c r="B644" s="11" t="s">
        <v>50</v>
      </c>
      <c r="C644" s="12" t="s">
        <v>50</v>
      </c>
      <c r="D644" s="6" t="s">
        <v>648</v>
      </c>
      <c r="E644" s="6" t="s">
        <v>41</v>
      </c>
      <c r="F644" s="6" t="s">
        <v>47</v>
      </c>
      <c r="G644" s="18" t="str">
        <f>+VLOOKUP(F644,[1]Лист_1!$A:$C,2,0)</f>
        <v>771310644924</v>
      </c>
      <c r="H644" s="8">
        <v>1</v>
      </c>
      <c r="I644" s="26"/>
    </row>
    <row r="645" spans="1:9" s="13" customFormat="1" ht="35.1" customHeight="1">
      <c r="A645" s="28" t="s">
        <v>25</v>
      </c>
      <c r="B645" s="11" t="s">
        <v>50</v>
      </c>
      <c r="C645" s="12" t="s">
        <v>50</v>
      </c>
      <c r="D645" s="6" t="s">
        <v>648</v>
      </c>
      <c r="E645" s="6" t="s">
        <v>41</v>
      </c>
      <c r="F645" s="28" t="s">
        <v>66</v>
      </c>
      <c r="G645" s="18"/>
      <c r="H645" s="8">
        <v>0.5</v>
      </c>
      <c r="I645" s="26"/>
    </row>
    <row r="646" spans="1:9" s="13" customFormat="1" ht="35.1" customHeight="1">
      <c r="A646" s="28" t="s">
        <v>948</v>
      </c>
      <c r="B646" s="11" t="s">
        <v>50</v>
      </c>
      <c r="C646" s="12" t="s">
        <v>50</v>
      </c>
      <c r="D646" s="6" t="s">
        <v>648</v>
      </c>
      <c r="E646" s="6" t="s">
        <v>41</v>
      </c>
      <c r="F646" s="29" t="s">
        <v>950</v>
      </c>
      <c r="G646" s="18" t="str">
        <f>+VLOOKUP(F646,[1]Лист_1!$A:$C,2,0)</f>
        <v>781135219800</v>
      </c>
      <c r="H646" s="8">
        <v>0.5</v>
      </c>
      <c r="I646" s="26"/>
    </row>
    <row r="647" spans="1:9" s="13" customFormat="1" ht="35.1" customHeight="1">
      <c r="A647" s="29" t="s">
        <v>864</v>
      </c>
      <c r="B647" s="11" t="s">
        <v>50</v>
      </c>
      <c r="C647" s="12" t="s">
        <v>50</v>
      </c>
      <c r="D647" s="6" t="s">
        <v>648</v>
      </c>
      <c r="E647" s="6" t="s">
        <v>42</v>
      </c>
      <c r="F647" s="28" t="s">
        <v>66</v>
      </c>
      <c r="G647" s="18"/>
      <c r="H647" s="8">
        <v>0.5</v>
      </c>
      <c r="I647" s="26"/>
    </row>
    <row r="648" spans="1:9" s="13" customFormat="1" ht="35.1" customHeight="1">
      <c r="A648" s="6" t="s">
        <v>48</v>
      </c>
      <c r="B648" s="11" t="s">
        <v>50</v>
      </c>
      <c r="C648" s="12" t="s">
        <v>50</v>
      </c>
      <c r="D648" s="6" t="s">
        <v>648</v>
      </c>
      <c r="E648" s="6" t="s">
        <v>42</v>
      </c>
      <c r="F648" s="6" t="s">
        <v>48</v>
      </c>
      <c r="G648" s="18" t="str">
        <f>+VLOOKUP(F648,[1]Лист_1!$A:$C,2,0)</f>
        <v>772081875492</v>
      </c>
      <c r="H648" s="8">
        <v>0.5</v>
      </c>
      <c r="I648" s="26"/>
    </row>
    <row r="649" spans="1:9" s="13" customFormat="1" ht="35.1" customHeight="1">
      <c r="A649" s="28" t="s">
        <v>25</v>
      </c>
      <c r="B649" s="11" t="s">
        <v>50</v>
      </c>
      <c r="C649" s="12" t="s">
        <v>50</v>
      </c>
      <c r="D649" s="6" t="s">
        <v>648</v>
      </c>
      <c r="E649" s="18" t="s">
        <v>42</v>
      </c>
      <c r="F649" s="28" t="s">
        <v>66</v>
      </c>
      <c r="G649" s="18"/>
      <c r="H649" s="8">
        <v>1</v>
      </c>
      <c r="I649" s="26"/>
    </row>
    <row r="650" spans="1:9" s="13" customFormat="1" ht="35.1" customHeight="1">
      <c r="B650" s="44"/>
      <c r="C650" s="44"/>
      <c r="D650" s="44"/>
      <c r="E650" s="44"/>
      <c r="F650" s="51"/>
      <c r="G650" s="44"/>
      <c r="H650" s="14">
        <f>SUM(H631:H649)</f>
        <v>16</v>
      </c>
      <c r="I650" s="37"/>
    </row>
    <row r="651" spans="1:9" s="13" customFormat="1" ht="35.1" customHeight="1">
      <c r="A651" s="29" t="s">
        <v>574</v>
      </c>
      <c r="B651" s="11" t="s">
        <v>258</v>
      </c>
      <c r="C651" s="12" t="s">
        <v>258</v>
      </c>
      <c r="D651" s="6" t="s">
        <v>639</v>
      </c>
      <c r="E651" s="6" t="s">
        <v>154</v>
      </c>
      <c r="F651" s="29" t="s">
        <v>574</v>
      </c>
      <c r="G651" s="18" t="str">
        <f>+VLOOKUP(F651,[1]Лист_1!$A:$C,2,0)</f>
        <v>503818819350</v>
      </c>
      <c r="H651" s="8">
        <v>1</v>
      </c>
      <c r="I651" s="26"/>
    </row>
    <row r="652" spans="1:9" s="13" customFormat="1" ht="35.1" customHeight="1">
      <c r="A652" s="6" t="s">
        <v>519</v>
      </c>
      <c r="B652" s="11" t="s">
        <v>258</v>
      </c>
      <c r="C652" s="12" t="s">
        <v>258</v>
      </c>
      <c r="D652" s="6" t="s">
        <v>502</v>
      </c>
      <c r="E652" s="6" t="s">
        <v>14</v>
      </c>
      <c r="F652" s="6" t="s">
        <v>519</v>
      </c>
      <c r="G652" s="18" t="str">
        <f>+VLOOKUP(F652,[1]Лист_1!$A:$C,2,0)</f>
        <v>772161035428</v>
      </c>
      <c r="H652" s="7">
        <v>1</v>
      </c>
      <c r="I652" s="26"/>
    </row>
    <row r="653" spans="1:9" s="13" customFormat="1" ht="35.1" customHeight="1">
      <c r="A653" s="6" t="s">
        <v>518</v>
      </c>
      <c r="B653" s="11" t="s">
        <v>258</v>
      </c>
      <c r="C653" s="12" t="s">
        <v>258</v>
      </c>
      <c r="D653" s="6" t="s">
        <v>502</v>
      </c>
      <c r="E653" s="6" t="s">
        <v>15</v>
      </c>
      <c r="F653" s="6" t="s">
        <v>518</v>
      </c>
      <c r="G653" s="18" t="str">
        <f>+VLOOKUP(F653,[1]Лист_1!$A:$C,2,0)</f>
        <v>771386977761</v>
      </c>
      <c r="H653" s="7">
        <v>1</v>
      </c>
      <c r="I653" s="26"/>
    </row>
    <row r="654" spans="1:9" s="13" customFormat="1" ht="35.1" customHeight="1">
      <c r="A654" s="28" t="s">
        <v>25</v>
      </c>
      <c r="B654" s="11" t="s">
        <v>258</v>
      </c>
      <c r="C654" s="12" t="s">
        <v>258</v>
      </c>
      <c r="D654" s="6" t="s">
        <v>502</v>
      </c>
      <c r="E654" s="6" t="s">
        <v>503</v>
      </c>
      <c r="F654" s="28" t="s">
        <v>66</v>
      </c>
      <c r="G654" s="18"/>
      <c r="H654" s="7">
        <v>1</v>
      </c>
      <c r="I654" s="26"/>
    </row>
    <row r="655" spans="1:9" s="13" customFormat="1" ht="35.1" customHeight="1">
      <c r="A655" s="6" t="s">
        <v>525</v>
      </c>
      <c r="B655" s="11" t="s">
        <v>258</v>
      </c>
      <c r="C655" s="12" t="s">
        <v>258</v>
      </c>
      <c r="D655" s="6" t="s">
        <v>504</v>
      </c>
      <c r="E655" s="6" t="s">
        <v>12</v>
      </c>
      <c r="F655" s="6" t="s">
        <v>525</v>
      </c>
      <c r="G655" s="18" t="str">
        <f>+VLOOKUP(F655,[1]Лист_1!$A:$C,2,0)</f>
        <v>372701084870</v>
      </c>
      <c r="H655" s="7">
        <v>1</v>
      </c>
      <c r="I655" s="26"/>
    </row>
    <row r="656" spans="1:9" s="13" customFormat="1" ht="35.1" customHeight="1">
      <c r="A656" s="6" t="s">
        <v>524</v>
      </c>
      <c r="B656" s="11" t="s">
        <v>258</v>
      </c>
      <c r="C656" s="12" t="s">
        <v>258</v>
      </c>
      <c r="D656" s="6" t="s">
        <v>504</v>
      </c>
      <c r="E656" s="6" t="s">
        <v>149</v>
      </c>
      <c r="F656" s="6" t="s">
        <v>524</v>
      </c>
      <c r="G656" s="18" t="str">
        <f>+VLOOKUP(F656,[1]Лист_1!$A:$C,2,0)</f>
        <v>311512709702</v>
      </c>
      <c r="H656" s="7">
        <v>1</v>
      </c>
      <c r="I656" s="26"/>
    </row>
    <row r="657" spans="1:9" s="13" customFormat="1" ht="35.1" customHeight="1">
      <c r="A657" s="28" t="s">
        <v>25</v>
      </c>
      <c r="B657" s="11" t="s">
        <v>258</v>
      </c>
      <c r="C657" s="12" t="s">
        <v>258</v>
      </c>
      <c r="D657" s="6" t="s">
        <v>504</v>
      </c>
      <c r="E657" s="6" t="s">
        <v>623</v>
      </c>
      <c r="F657" s="28" t="s">
        <v>66</v>
      </c>
      <c r="G657" s="18"/>
      <c r="H657" s="7">
        <v>1</v>
      </c>
      <c r="I657" s="26"/>
    </row>
    <row r="658" spans="1:9" s="13" customFormat="1" ht="35.1" customHeight="1">
      <c r="A658" s="6" t="s">
        <v>780</v>
      </c>
      <c r="B658" s="11" t="s">
        <v>258</v>
      </c>
      <c r="C658" s="12" t="s">
        <v>258</v>
      </c>
      <c r="D658" s="6" t="s">
        <v>504</v>
      </c>
      <c r="E658" s="6" t="s">
        <v>623</v>
      </c>
      <c r="F658" s="28" t="s">
        <v>66</v>
      </c>
      <c r="G658" s="18"/>
      <c r="H658" s="7">
        <v>1</v>
      </c>
      <c r="I658" s="26"/>
    </row>
    <row r="659" spans="1:9" s="13" customFormat="1" ht="35.1" customHeight="1">
      <c r="A659" s="6" t="s">
        <v>521</v>
      </c>
      <c r="B659" s="11" t="s">
        <v>258</v>
      </c>
      <c r="C659" s="12" t="s">
        <v>258</v>
      </c>
      <c r="D659" s="6" t="s">
        <v>504</v>
      </c>
      <c r="E659" s="6" t="s">
        <v>623</v>
      </c>
      <c r="F659" s="6" t="s">
        <v>521</v>
      </c>
      <c r="G659" s="18" t="str">
        <f>+VLOOKUP(F659,[1]Лист_1!$A:$C,2,0)</f>
        <v>772022565636</v>
      </c>
      <c r="H659" s="7">
        <v>1</v>
      </c>
      <c r="I659" s="26"/>
    </row>
    <row r="660" spans="1:9" s="13" customFormat="1" ht="35.1" customHeight="1">
      <c r="A660" s="6" t="s">
        <v>694</v>
      </c>
      <c r="B660" s="11" t="s">
        <v>258</v>
      </c>
      <c r="C660" s="12" t="s">
        <v>258</v>
      </c>
      <c r="D660" s="6" t="s">
        <v>504</v>
      </c>
      <c r="E660" s="6" t="s">
        <v>623</v>
      </c>
      <c r="F660" s="6" t="s">
        <v>694</v>
      </c>
      <c r="G660" s="18" t="str">
        <f>+VLOOKUP(F660,[1]Лист_1!$A:$C,2,0)</f>
        <v>500308336751</v>
      </c>
      <c r="H660" s="7">
        <v>1</v>
      </c>
      <c r="I660" s="26"/>
    </row>
    <row r="661" spans="1:9" s="13" customFormat="1" ht="35.1" customHeight="1">
      <c r="A661" s="6" t="s">
        <v>831</v>
      </c>
      <c r="B661" s="11" t="s">
        <v>258</v>
      </c>
      <c r="C661" s="12" t="s">
        <v>258</v>
      </c>
      <c r="D661" s="6" t="s">
        <v>504</v>
      </c>
      <c r="E661" s="6" t="s">
        <v>623</v>
      </c>
      <c r="F661" s="6" t="s">
        <v>831</v>
      </c>
      <c r="G661" s="18" t="str">
        <f>+VLOOKUP(F661,[1]Лист_1!$A:$C,2,0)</f>
        <v>771402815746</v>
      </c>
      <c r="H661" s="7">
        <v>0.5</v>
      </c>
      <c r="I661" s="26"/>
    </row>
    <row r="662" spans="1:9" s="13" customFormat="1" ht="35.1" customHeight="1">
      <c r="A662" s="6" t="s">
        <v>522</v>
      </c>
      <c r="B662" s="11" t="s">
        <v>258</v>
      </c>
      <c r="C662" s="12" t="s">
        <v>258</v>
      </c>
      <c r="D662" s="6" t="s">
        <v>504</v>
      </c>
      <c r="E662" s="6" t="s">
        <v>623</v>
      </c>
      <c r="F662" s="6" t="s">
        <v>522</v>
      </c>
      <c r="G662" s="18" t="str">
        <f>+VLOOKUP(F662,[1]Лист_1!$A:$C,2,0)</f>
        <v>774335329729</v>
      </c>
      <c r="H662" s="7">
        <v>0.5</v>
      </c>
      <c r="I662" s="26"/>
    </row>
    <row r="663" spans="1:9" s="13" customFormat="1" ht="35.1" customHeight="1">
      <c r="A663" s="6" t="s">
        <v>815</v>
      </c>
      <c r="B663" s="11" t="s">
        <v>258</v>
      </c>
      <c r="C663" s="12" t="s">
        <v>258</v>
      </c>
      <c r="D663" s="6" t="s">
        <v>504</v>
      </c>
      <c r="E663" s="6" t="s">
        <v>624</v>
      </c>
      <c r="F663" s="6" t="s">
        <v>815</v>
      </c>
      <c r="G663" s="18" t="str">
        <f>+VLOOKUP(F663,[1]Лист_1!$A:$C,2,0)</f>
        <v>920452893124</v>
      </c>
      <c r="H663" s="7">
        <v>1</v>
      </c>
      <c r="I663" s="26"/>
    </row>
    <row r="664" spans="1:9" s="13" customFormat="1" ht="35.1" customHeight="1">
      <c r="A664" s="6" t="s">
        <v>520</v>
      </c>
      <c r="B664" s="11" t="s">
        <v>258</v>
      </c>
      <c r="C664" s="12" t="s">
        <v>258</v>
      </c>
      <c r="D664" s="6" t="s">
        <v>504</v>
      </c>
      <c r="E664" s="6" t="s">
        <v>505</v>
      </c>
      <c r="F664" s="6" t="s">
        <v>520</v>
      </c>
      <c r="G664" s="18" t="str">
        <f>+VLOOKUP(F664,[1]Лист_1!$A:$C,2,0)</f>
        <v>772435558207</v>
      </c>
      <c r="H664" s="7">
        <v>1</v>
      </c>
      <c r="I664" s="26"/>
    </row>
    <row r="665" spans="1:9" s="13" customFormat="1" ht="35.1" customHeight="1">
      <c r="A665" s="28" t="s">
        <v>25</v>
      </c>
      <c r="B665" s="11" t="s">
        <v>258</v>
      </c>
      <c r="C665" s="12" t="s">
        <v>258</v>
      </c>
      <c r="D665" s="6" t="s">
        <v>504</v>
      </c>
      <c r="E665" s="6" t="s">
        <v>507</v>
      </c>
      <c r="F665" s="6" t="s">
        <v>961</v>
      </c>
      <c r="G665" s="48" t="s">
        <v>962</v>
      </c>
      <c r="H665" s="7">
        <v>1</v>
      </c>
      <c r="I665" s="26"/>
    </row>
    <row r="666" spans="1:9" s="13" customFormat="1" ht="35.1" customHeight="1">
      <c r="A666" s="6" t="s">
        <v>528</v>
      </c>
      <c r="B666" s="11" t="s">
        <v>258</v>
      </c>
      <c r="C666" s="12" t="s">
        <v>968</v>
      </c>
      <c r="D666" s="6" t="s">
        <v>625</v>
      </c>
      <c r="E666" s="6" t="s">
        <v>67</v>
      </c>
      <c r="F666" s="6" t="s">
        <v>528</v>
      </c>
      <c r="G666" s="18" t="str">
        <f>+VLOOKUP(F666,[1]Лист_1!$A:$C,2,0)</f>
        <v>773712846603</v>
      </c>
      <c r="H666" s="7">
        <v>1</v>
      </c>
      <c r="I666" s="26"/>
    </row>
    <row r="667" spans="1:9" s="13" customFormat="1" ht="35.1" customHeight="1">
      <c r="A667" s="6" t="s">
        <v>529</v>
      </c>
      <c r="B667" s="11" t="s">
        <v>258</v>
      </c>
      <c r="C667" s="12" t="s">
        <v>258</v>
      </c>
      <c r="D667" s="6" t="s">
        <v>625</v>
      </c>
      <c r="E667" s="6" t="s">
        <v>68</v>
      </c>
      <c r="F667" s="6" t="s">
        <v>529</v>
      </c>
      <c r="G667" s="18" t="str">
        <f>+VLOOKUP(F667,[1]Лист_1!$A:$C,2,0)</f>
        <v>771545061159</v>
      </c>
      <c r="H667" s="7">
        <v>1</v>
      </c>
      <c r="I667" s="26"/>
    </row>
    <row r="668" spans="1:9" s="13" customFormat="1" ht="35.1" customHeight="1">
      <c r="A668" s="6" t="s">
        <v>431</v>
      </c>
      <c r="B668" s="11" t="s">
        <v>258</v>
      </c>
      <c r="C668" s="12" t="s">
        <v>258</v>
      </c>
      <c r="D668" s="6" t="s">
        <v>625</v>
      </c>
      <c r="E668" s="6" t="s">
        <v>68</v>
      </c>
      <c r="F668" s="6" t="s">
        <v>431</v>
      </c>
      <c r="G668" s="18" t="str">
        <f>+VLOOKUP(F668,[1]Лист_1!$A:$C,2,0)</f>
        <v>771818477247</v>
      </c>
      <c r="H668" s="7">
        <v>1</v>
      </c>
      <c r="I668" s="26"/>
    </row>
    <row r="669" spans="1:9" s="13" customFormat="1" ht="51" customHeight="1">
      <c r="A669" s="6" t="s">
        <v>526</v>
      </c>
      <c r="B669" s="11" t="s">
        <v>258</v>
      </c>
      <c r="C669" s="12" t="s">
        <v>258</v>
      </c>
      <c r="D669" s="6" t="s">
        <v>625</v>
      </c>
      <c r="E669" s="6" t="s">
        <v>649</v>
      </c>
      <c r="F669" s="6" t="s">
        <v>526</v>
      </c>
      <c r="G669" s="18" t="str">
        <f>+VLOOKUP(F669,[1]Лист_1!$A:$C,2,0)</f>
        <v>502504189240</v>
      </c>
      <c r="H669" s="7">
        <v>1</v>
      </c>
      <c r="I669" s="26"/>
    </row>
    <row r="670" spans="1:9" s="13" customFormat="1" ht="57" customHeight="1">
      <c r="A670" s="6" t="s">
        <v>527</v>
      </c>
      <c r="B670" s="11" t="s">
        <v>258</v>
      </c>
      <c r="C670" s="12" t="s">
        <v>258</v>
      </c>
      <c r="D670" s="6" t="s">
        <v>625</v>
      </c>
      <c r="E670" s="6" t="s">
        <v>649</v>
      </c>
      <c r="F670" s="6" t="s">
        <v>527</v>
      </c>
      <c r="G670" s="18" t="str">
        <f>+VLOOKUP(F670,[1]Лист_1!$A:$C,2,0)</f>
        <v>773670448502</v>
      </c>
      <c r="H670" s="7">
        <v>1</v>
      </c>
      <c r="I670" s="26"/>
    </row>
    <row r="671" spans="1:9" s="13" customFormat="1" ht="45.6" customHeight="1">
      <c r="A671" s="6" t="s">
        <v>433</v>
      </c>
      <c r="B671" s="11" t="s">
        <v>258</v>
      </c>
      <c r="C671" s="12" t="s">
        <v>258</v>
      </c>
      <c r="D671" s="6" t="s">
        <v>625</v>
      </c>
      <c r="E671" s="6" t="s">
        <v>649</v>
      </c>
      <c r="F671" s="6" t="s">
        <v>433</v>
      </c>
      <c r="G671" s="18" t="str">
        <f>+VLOOKUP(F671,[1]Лист_1!$A:$C,2,0)</f>
        <v>771576750487</v>
      </c>
      <c r="H671" s="7">
        <v>1</v>
      </c>
      <c r="I671" s="26"/>
    </row>
    <row r="672" spans="1:9" s="13" customFormat="1" ht="45.6" customHeight="1">
      <c r="A672" s="28" t="s">
        <v>25</v>
      </c>
      <c r="B672" s="11" t="s">
        <v>258</v>
      </c>
      <c r="C672" s="12" t="s">
        <v>258</v>
      </c>
      <c r="D672" s="6" t="s">
        <v>625</v>
      </c>
      <c r="E672" s="6" t="s">
        <v>649</v>
      </c>
      <c r="F672" s="28" t="s">
        <v>66</v>
      </c>
      <c r="G672" s="18"/>
      <c r="H672" s="7">
        <v>1</v>
      </c>
      <c r="I672" s="26"/>
    </row>
    <row r="673" spans="1:9" s="13" customFormat="1" ht="35.1" customHeight="1">
      <c r="A673" s="6" t="s">
        <v>530</v>
      </c>
      <c r="B673" s="11" t="s">
        <v>258</v>
      </c>
      <c r="C673" s="12" t="s">
        <v>258</v>
      </c>
      <c r="D673" s="6" t="s">
        <v>506</v>
      </c>
      <c r="E673" s="6" t="s">
        <v>14</v>
      </c>
      <c r="F673" s="6" t="s">
        <v>530</v>
      </c>
      <c r="G673" s="18" t="str">
        <f>+VLOOKUP(F673,[1]Лист_1!$A:$C,2,0)</f>
        <v>774360746003</v>
      </c>
      <c r="H673" s="7">
        <v>0.5</v>
      </c>
      <c r="I673" s="26"/>
    </row>
    <row r="674" spans="1:9" s="13" customFormat="1" ht="35.1" customHeight="1">
      <c r="A674" s="6"/>
      <c r="B674" s="11" t="s">
        <v>258</v>
      </c>
      <c r="C674" s="12" t="s">
        <v>258</v>
      </c>
      <c r="D674" s="6" t="s">
        <v>506</v>
      </c>
      <c r="E674" s="6" t="s">
        <v>14</v>
      </c>
      <c r="F674" s="28" t="s">
        <v>66</v>
      </c>
      <c r="G674" s="18"/>
      <c r="H674" s="7">
        <v>0.5</v>
      </c>
      <c r="I674" s="26"/>
    </row>
    <row r="675" spans="1:9" s="13" customFormat="1" ht="35.1" customHeight="1">
      <c r="A675" s="6" t="s">
        <v>533</v>
      </c>
      <c r="B675" s="11" t="s">
        <v>258</v>
      </c>
      <c r="C675" s="12" t="s">
        <v>258</v>
      </c>
      <c r="D675" s="6" t="s">
        <v>506</v>
      </c>
      <c r="E675" s="6" t="s">
        <v>507</v>
      </c>
      <c r="F675" s="6" t="s">
        <v>533</v>
      </c>
      <c r="G675" s="18" t="str">
        <f>+VLOOKUP(F675,[1]Лист_1!$A:$C,2,0)</f>
        <v>773001590922</v>
      </c>
      <c r="H675" s="7">
        <v>1</v>
      </c>
      <c r="I675" s="26"/>
    </row>
    <row r="676" spans="1:9" s="13" customFormat="1" ht="35.1" customHeight="1">
      <c r="A676" s="6" t="s">
        <v>532</v>
      </c>
      <c r="B676" s="11" t="s">
        <v>258</v>
      </c>
      <c r="C676" s="12" t="s">
        <v>258</v>
      </c>
      <c r="D676" s="6" t="s">
        <v>506</v>
      </c>
      <c r="E676" s="6" t="s">
        <v>507</v>
      </c>
      <c r="F676" s="6" t="s">
        <v>532</v>
      </c>
      <c r="G676" s="18" t="str">
        <f>+VLOOKUP(F676,[1]Лист_1!$A:$C,2,0)</f>
        <v>771551230736</v>
      </c>
      <c r="H676" s="7">
        <v>1</v>
      </c>
      <c r="I676" s="26"/>
    </row>
    <row r="677" spans="1:9" s="13" customFormat="1" ht="35.1" customHeight="1">
      <c r="A677" s="6" t="s">
        <v>534</v>
      </c>
      <c r="B677" s="11" t="s">
        <v>258</v>
      </c>
      <c r="C677" s="12" t="s">
        <v>258</v>
      </c>
      <c r="D677" s="6" t="s">
        <v>506</v>
      </c>
      <c r="E677" s="6" t="s">
        <v>507</v>
      </c>
      <c r="F677" s="6" t="s">
        <v>534</v>
      </c>
      <c r="G677" s="18" t="str">
        <f>+VLOOKUP(F677,[1]Лист_1!$A:$C,2,0)</f>
        <v>772351548178</v>
      </c>
      <c r="H677" s="7">
        <v>1</v>
      </c>
      <c r="I677" s="26"/>
    </row>
    <row r="678" spans="1:9" s="13" customFormat="1" ht="35.1" customHeight="1">
      <c r="A678" s="6" t="s">
        <v>531</v>
      </c>
      <c r="B678" s="11" t="s">
        <v>258</v>
      </c>
      <c r="C678" s="12" t="s">
        <v>258</v>
      </c>
      <c r="D678" s="6" t="s">
        <v>506</v>
      </c>
      <c r="E678" s="6" t="s">
        <v>507</v>
      </c>
      <c r="F678" s="6" t="s">
        <v>531</v>
      </c>
      <c r="G678" s="18" t="str">
        <f>+VLOOKUP(F678,[1]Лист_1!$A:$C,2,0)</f>
        <v>772146876842</v>
      </c>
      <c r="H678" s="7">
        <v>1</v>
      </c>
      <c r="I678" s="26"/>
    </row>
    <row r="679" spans="1:9" s="13" customFormat="1" ht="35.1" customHeight="1">
      <c r="A679" s="6" t="s">
        <v>537</v>
      </c>
      <c r="B679" s="11" t="s">
        <v>258</v>
      </c>
      <c r="C679" s="12" t="s">
        <v>258</v>
      </c>
      <c r="D679" s="6" t="s">
        <v>509</v>
      </c>
      <c r="E679" s="6" t="s">
        <v>14</v>
      </c>
      <c r="F679" s="6" t="s">
        <v>537</v>
      </c>
      <c r="G679" s="18" t="str">
        <f>+VLOOKUP(F679,[1]Лист_1!$A:$C,2,0)</f>
        <v>503011789202</v>
      </c>
      <c r="H679" s="7">
        <v>1</v>
      </c>
      <c r="I679" s="26"/>
    </row>
    <row r="680" spans="1:9" s="13" customFormat="1" ht="35.1" customHeight="1">
      <c r="A680" s="6" t="s">
        <v>540</v>
      </c>
      <c r="B680" s="11" t="s">
        <v>258</v>
      </c>
      <c r="C680" s="12" t="s">
        <v>258</v>
      </c>
      <c r="D680" s="6" t="s">
        <v>509</v>
      </c>
      <c r="E680" s="6" t="s">
        <v>15</v>
      </c>
      <c r="F680" s="6" t="s">
        <v>540</v>
      </c>
      <c r="G680" s="18" t="str">
        <f>+VLOOKUP(F680,[1]Лист_1!$A:$C,2,0)</f>
        <v>505017396762</v>
      </c>
      <c r="H680" s="7">
        <v>1</v>
      </c>
      <c r="I680" s="26"/>
    </row>
    <row r="681" spans="1:9" s="13" customFormat="1" ht="35.1" customHeight="1">
      <c r="A681" s="6" t="s">
        <v>538</v>
      </c>
      <c r="B681" s="11" t="s">
        <v>258</v>
      </c>
      <c r="C681" s="12" t="s">
        <v>968</v>
      </c>
      <c r="D681" s="6" t="s">
        <v>509</v>
      </c>
      <c r="E681" s="6" t="s">
        <v>726</v>
      </c>
      <c r="F681" s="6" t="s">
        <v>538</v>
      </c>
      <c r="G681" s="18" t="str">
        <f>+VLOOKUP(F681,[1]Лист_1!$A:$C,2,0)</f>
        <v>631816074614</v>
      </c>
      <c r="H681" s="7">
        <v>1</v>
      </c>
      <c r="I681" s="26"/>
    </row>
    <row r="682" spans="1:9" s="13" customFormat="1" ht="35.1" customHeight="1">
      <c r="A682" s="6" t="s">
        <v>542</v>
      </c>
      <c r="B682" s="11" t="s">
        <v>258</v>
      </c>
      <c r="C682" s="12" t="s">
        <v>258</v>
      </c>
      <c r="D682" s="6" t="s">
        <v>509</v>
      </c>
      <c r="E682" s="6" t="s">
        <v>726</v>
      </c>
      <c r="F682" s="6" t="s">
        <v>542</v>
      </c>
      <c r="G682" s="18" t="str">
        <f>+VLOOKUP(F682,[1]Лист_1!$A:$C,2,0)</f>
        <v>771505948804</v>
      </c>
      <c r="H682" s="7">
        <v>1</v>
      </c>
      <c r="I682" s="26"/>
    </row>
    <row r="683" spans="1:9" s="13" customFormat="1" ht="35.1" customHeight="1">
      <c r="A683" s="6" t="s">
        <v>536</v>
      </c>
      <c r="B683" s="11" t="s">
        <v>258</v>
      </c>
      <c r="C683" s="12" t="s">
        <v>258</v>
      </c>
      <c r="D683" s="6" t="s">
        <v>509</v>
      </c>
      <c r="E683" s="6" t="s">
        <v>727</v>
      </c>
      <c r="F683" s="6" t="s">
        <v>536</v>
      </c>
      <c r="G683" s="18" t="str">
        <f>+VLOOKUP(F683,[1]Лист_1!$A:$C,2,0)</f>
        <v>500109060435</v>
      </c>
      <c r="H683" s="7">
        <v>1</v>
      </c>
      <c r="I683" s="26"/>
    </row>
    <row r="684" spans="1:9" s="13" customFormat="1" ht="35.1" customHeight="1">
      <c r="A684" s="6" t="s">
        <v>539</v>
      </c>
      <c r="B684" s="11" t="s">
        <v>258</v>
      </c>
      <c r="C684" s="12" t="s">
        <v>258</v>
      </c>
      <c r="D684" s="6" t="s">
        <v>509</v>
      </c>
      <c r="E684" s="6" t="s">
        <v>510</v>
      </c>
      <c r="F684" s="6" t="s">
        <v>539</v>
      </c>
      <c r="G684" s="18" t="str">
        <f>+VLOOKUP(F684,[1]Лист_1!$A:$C,2,0)</f>
        <v>641400972526</v>
      </c>
      <c r="H684" s="7">
        <v>1</v>
      </c>
      <c r="I684" s="26"/>
    </row>
    <row r="685" spans="1:9" s="13" customFormat="1" ht="35.1" customHeight="1">
      <c r="A685" s="6" t="s">
        <v>541</v>
      </c>
      <c r="B685" s="11" t="s">
        <v>258</v>
      </c>
      <c r="C685" s="12" t="s">
        <v>258</v>
      </c>
      <c r="D685" s="6" t="s">
        <v>509</v>
      </c>
      <c r="E685" s="6" t="s">
        <v>511</v>
      </c>
      <c r="F685" s="6" t="s">
        <v>541</v>
      </c>
      <c r="G685" s="18" t="str">
        <f>+VLOOKUP(F685,[1]Лист_1!$A:$C,2,0)</f>
        <v>623300587095</v>
      </c>
      <c r="H685" s="7">
        <v>1</v>
      </c>
      <c r="I685" s="26"/>
    </row>
    <row r="686" spans="1:9" s="13" customFormat="1" ht="35.1" customHeight="1">
      <c r="A686" s="6" t="s">
        <v>543</v>
      </c>
      <c r="B686" s="11" t="s">
        <v>258</v>
      </c>
      <c r="C686" s="12" t="s">
        <v>258</v>
      </c>
      <c r="D686" s="6" t="s">
        <v>512</v>
      </c>
      <c r="E686" s="6" t="s">
        <v>445</v>
      </c>
      <c r="F686" s="6" t="s">
        <v>543</v>
      </c>
      <c r="G686" s="18" t="str">
        <f>+VLOOKUP(F686,[1]Лист_1!$A:$C,2,0)</f>
        <v>772004541431</v>
      </c>
      <c r="H686" s="7">
        <v>1</v>
      </c>
      <c r="I686" s="26"/>
    </row>
    <row r="687" spans="1:9" s="13" customFormat="1" ht="35.1" customHeight="1">
      <c r="A687" s="6" t="s">
        <v>545</v>
      </c>
      <c r="B687" s="11" t="s">
        <v>258</v>
      </c>
      <c r="C687" s="12" t="s">
        <v>258</v>
      </c>
      <c r="D687" s="6" t="s">
        <v>512</v>
      </c>
      <c r="E687" s="6" t="s">
        <v>627</v>
      </c>
      <c r="F687" s="6" t="s">
        <v>545</v>
      </c>
      <c r="G687" s="18" t="str">
        <f>+VLOOKUP(F687,[1]Лист_1!$A:$C,2,0)</f>
        <v>502417404691</v>
      </c>
      <c r="H687" s="7">
        <v>1</v>
      </c>
      <c r="I687" s="26"/>
    </row>
    <row r="688" spans="1:9" s="13" customFormat="1" ht="35.1" customHeight="1">
      <c r="A688" s="6" t="s">
        <v>544</v>
      </c>
      <c r="B688" s="11" t="s">
        <v>258</v>
      </c>
      <c r="C688" s="12" t="s">
        <v>258</v>
      </c>
      <c r="D688" s="6" t="s">
        <v>512</v>
      </c>
      <c r="E688" s="6" t="s">
        <v>626</v>
      </c>
      <c r="F688" s="6" t="s">
        <v>544</v>
      </c>
      <c r="G688" s="18" t="str">
        <f>+VLOOKUP(F688,[1]Лист_1!$A:$C,2,0)</f>
        <v>773571250340</v>
      </c>
      <c r="H688" s="7">
        <v>1</v>
      </c>
      <c r="I688" s="26"/>
    </row>
    <row r="689" spans="1:9" s="13" customFormat="1" ht="35.1" customHeight="1">
      <c r="A689" s="6" t="s">
        <v>546</v>
      </c>
      <c r="B689" s="11" t="s">
        <v>258</v>
      </c>
      <c r="C689" s="12" t="s">
        <v>258</v>
      </c>
      <c r="D689" s="6" t="s">
        <v>512</v>
      </c>
      <c r="E689" s="6" t="s">
        <v>626</v>
      </c>
      <c r="F689" s="6" t="s">
        <v>546</v>
      </c>
      <c r="G689" s="18" t="str">
        <f>+VLOOKUP(F689,[1]Лист_1!$A:$C,2,0)</f>
        <v>773503572444</v>
      </c>
      <c r="H689" s="7">
        <v>1</v>
      </c>
      <c r="I689" s="26"/>
    </row>
    <row r="690" spans="1:9" s="13" customFormat="1" ht="35.1" customHeight="1">
      <c r="B690" s="44"/>
      <c r="C690" s="44"/>
      <c r="D690" s="44"/>
      <c r="E690" s="44"/>
      <c r="F690" s="51"/>
      <c r="G690" s="44"/>
      <c r="H690" s="14">
        <f>SUM(H651:H689)</f>
        <v>37</v>
      </c>
      <c r="I690" s="37"/>
    </row>
    <row r="691" spans="1:9" s="13" customFormat="1" ht="35.1" customHeight="1">
      <c r="A691" s="6" t="s">
        <v>447</v>
      </c>
      <c r="B691" s="11" t="s">
        <v>446</v>
      </c>
      <c r="C691" s="12" t="s">
        <v>446</v>
      </c>
      <c r="D691" s="6" t="s">
        <v>455</v>
      </c>
      <c r="E691" s="6" t="s">
        <v>12</v>
      </c>
      <c r="F691" s="6" t="s">
        <v>447</v>
      </c>
      <c r="G691" s="18" t="str">
        <f>+VLOOKUP(F691,[1]Лист_1!$A:$C,2,0)</f>
        <v>504505561810</v>
      </c>
      <c r="H691" s="7">
        <v>1</v>
      </c>
      <c r="I691" s="26"/>
    </row>
    <row r="692" spans="1:9" s="13" customFormat="1" ht="35.1" customHeight="1">
      <c r="A692" s="6" t="s">
        <v>450</v>
      </c>
      <c r="B692" s="11" t="s">
        <v>446</v>
      </c>
      <c r="C692" s="12" t="s">
        <v>446</v>
      </c>
      <c r="D692" s="6" t="s">
        <v>455</v>
      </c>
      <c r="E692" s="6" t="s">
        <v>149</v>
      </c>
      <c r="F692" s="6" t="s">
        <v>450</v>
      </c>
      <c r="G692" s="18" t="str">
        <f>+VLOOKUP(F692,[1]Лист_1!$A:$C,2,0)</f>
        <v>772581942066</v>
      </c>
      <c r="H692" s="7">
        <v>1</v>
      </c>
      <c r="I692" s="26"/>
    </row>
    <row r="693" spans="1:9" s="13" customFormat="1" ht="35.1" customHeight="1">
      <c r="A693" s="6" t="s">
        <v>451</v>
      </c>
      <c r="B693" s="11" t="s">
        <v>446</v>
      </c>
      <c r="C693" s="12" t="s">
        <v>446</v>
      </c>
      <c r="D693" s="6" t="s">
        <v>455</v>
      </c>
      <c r="E693" s="6" t="s">
        <v>630</v>
      </c>
      <c r="F693" s="6" t="s">
        <v>451</v>
      </c>
      <c r="G693" s="18" t="str">
        <f>+VLOOKUP(F693,[1]Лист_1!$A:$C,2,0)</f>
        <v>402200619280</v>
      </c>
      <c r="H693" s="7">
        <v>1</v>
      </c>
      <c r="I693" s="26"/>
    </row>
    <row r="694" spans="1:9" s="13" customFormat="1" ht="35.1" customHeight="1">
      <c r="A694" s="6" t="s">
        <v>754</v>
      </c>
      <c r="B694" s="11" t="s">
        <v>446</v>
      </c>
      <c r="C694" s="12" t="s">
        <v>446</v>
      </c>
      <c r="D694" s="6" t="s">
        <v>455</v>
      </c>
      <c r="E694" s="6" t="s">
        <v>631</v>
      </c>
      <c r="F694" s="6" t="s">
        <v>754</v>
      </c>
      <c r="G694" s="18" t="str">
        <f>+VLOOKUP(F694,[1]Лист_1!$A:$C,2,0)</f>
        <v>571900930129</v>
      </c>
      <c r="H694" s="7">
        <v>1</v>
      </c>
      <c r="I694" s="26"/>
    </row>
    <row r="695" spans="1:9" s="13" customFormat="1" ht="35.1" customHeight="1">
      <c r="A695" s="6" t="s">
        <v>784</v>
      </c>
      <c r="B695" s="11" t="s">
        <v>446</v>
      </c>
      <c r="C695" s="12" t="s">
        <v>446</v>
      </c>
      <c r="D695" s="6" t="s">
        <v>455</v>
      </c>
      <c r="E695" s="6" t="s">
        <v>631</v>
      </c>
      <c r="F695" s="6" t="s">
        <v>784</v>
      </c>
      <c r="G695" s="18" t="str">
        <f>+VLOOKUP(F695,[1]Лист_1!$A:$C,2,0)</f>
        <v>772331259308</v>
      </c>
      <c r="H695" s="7">
        <v>1</v>
      </c>
      <c r="I695" s="26"/>
    </row>
    <row r="696" spans="1:9" s="13" customFormat="1" ht="35.1" customHeight="1">
      <c r="A696" s="6" t="s">
        <v>452</v>
      </c>
      <c r="B696" s="11" t="s">
        <v>446</v>
      </c>
      <c r="C696" s="12" t="s">
        <v>446</v>
      </c>
      <c r="D696" s="6" t="s">
        <v>444</v>
      </c>
      <c r="E696" s="6" t="s">
        <v>445</v>
      </c>
      <c r="F696" s="6" t="s">
        <v>452</v>
      </c>
      <c r="G696" s="18" t="str">
        <f>+VLOOKUP(F696,[1]Лист_1!$A:$C,2,0)</f>
        <v>772001141932</v>
      </c>
      <c r="H696" s="7">
        <v>1</v>
      </c>
      <c r="I696" s="26"/>
    </row>
    <row r="697" spans="1:9" s="13" customFormat="1" ht="35.1" customHeight="1">
      <c r="A697" s="6" t="s">
        <v>453</v>
      </c>
      <c r="B697" s="11" t="s">
        <v>446</v>
      </c>
      <c r="C697" s="12" t="s">
        <v>446</v>
      </c>
      <c r="D697" s="6" t="s">
        <v>444</v>
      </c>
      <c r="E697" s="6" t="s">
        <v>728</v>
      </c>
      <c r="F697" s="6" t="s">
        <v>453</v>
      </c>
      <c r="G697" s="18" t="str">
        <f>+VLOOKUP(F697,[1]Лист_1!$A:$C,2,0)</f>
        <v>772339522960</v>
      </c>
      <c r="H697" s="7">
        <v>1</v>
      </c>
      <c r="I697" s="26"/>
    </row>
    <row r="698" spans="1:9" s="13" customFormat="1" ht="35.1" customHeight="1">
      <c r="A698" s="6" t="s">
        <v>449</v>
      </c>
      <c r="B698" s="11" t="s">
        <v>446</v>
      </c>
      <c r="C698" s="12" t="s">
        <v>446</v>
      </c>
      <c r="D698" s="6" t="s">
        <v>454</v>
      </c>
      <c r="E698" s="6" t="s">
        <v>26</v>
      </c>
      <c r="F698" s="6" t="s">
        <v>449</v>
      </c>
      <c r="G698" s="18" t="str">
        <f>+VLOOKUP(F698,[1]Лист_1!$A:$C,2,0)</f>
        <v>525110145068</v>
      </c>
      <c r="H698" s="7">
        <v>1</v>
      </c>
      <c r="I698" s="26"/>
    </row>
    <row r="699" spans="1:9" s="13" customFormat="1" ht="35.1" customHeight="1">
      <c r="A699" s="6" t="s">
        <v>448</v>
      </c>
      <c r="B699" s="11" t="s">
        <v>446</v>
      </c>
      <c r="C699" s="12" t="s">
        <v>446</v>
      </c>
      <c r="D699" s="6" t="s">
        <v>454</v>
      </c>
      <c r="E699" s="6" t="s">
        <v>26</v>
      </c>
      <c r="F699" s="6" t="s">
        <v>448</v>
      </c>
      <c r="G699" s="18" t="str">
        <f>+VLOOKUP(F699,[1]Лист_1!$A:$C,2,0)</f>
        <v>590612658608</v>
      </c>
      <c r="H699" s="7">
        <v>0</v>
      </c>
      <c r="I699" s="26"/>
    </row>
    <row r="700" spans="1:9" s="13" customFormat="1" ht="35.1" customHeight="1">
      <c r="B700" s="44"/>
      <c r="C700" s="44"/>
      <c r="D700" s="44"/>
      <c r="E700" s="44"/>
      <c r="F700" s="51"/>
      <c r="G700" s="44"/>
      <c r="H700" s="14">
        <f>SUM(H691:H699)</f>
        <v>8</v>
      </c>
      <c r="I700" s="37"/>
    </row>
    <row r="701" spans="1:9" s="13" customFormat="1" ht="35.1" customHeight="1">
      <c r="A701" s="6" t="s">
        <v>274</v>
      </c>
      <c r="B701" s="11" t="s">
        <v>290</v>
      </c>
      <c r="C701" s="12" t="s">
        <v>290</v>
      </c>
      <c r="D701" s="6" t="s">
        <v>266</v>
      </c>
      <c r="E701" s="6" t="s">
        <v>148</v>
      </c>
      <c r="F701" s="6" t="s">
        <v>274</v>
      </c>
      <c r="G701" s="18" t="str">
        <f>+VLOOKUP(F701,[1]Лист_1!$A:$C,2,0)</f>
        <v>402577321465</v>
      </c>
      <c r="H701" s="7">
        <v>1</v>
      </c>
      <c r="I701" s="26"/>
    </row>
    <row r="702" spans="1:9" s="13" customFormat="1" ht="35.1" customHeight="1">
      <c r="A702" s="6" t="s">
        <v>275</v>
      </c>
      <c r="B702" s="11" t="s">
        <v>290</v>
      </c>
      <c r="C702" s="12" t="s">
        <v>290</v>
      </c>
      <c r="D702" s="6" t="s">
        <v>267</v>
      </c>
      <c r="E702" s="6" t="s">
        <v>14</v>
      </c>
      <c r="F702" s="6" t="s">
        <v>275</v>
      </c>
      <c r="G702" s="18" t="str">
        <f>+VLOOKUP(F702,[1]Лист_1!$A:$C,2,0)</f>
        <v>774336066007</v>
      </c>
      <c r="H702" s="7">
        <v>1</v>
      </c>
      <c r="I702" s="26"/>
    </row>
    <row r="703" spans="1:9" s="13" customFormat="1" ht="35.1" customHeight="1">
      <c r="A703" s="29" t="s">
        <v>705</v>
      </c>
      <c r="B703" s="11" t="s">
        <v>290</v>
      </c>
      <c r="C703" s="12" t="s">
        <v>290</v>
      </c>
      <c r="D703" s="6" t="s">
        <v>267</v>
      </c>
      <c r="E703" s="6" t="s">
        <v>606</v>
      </c>
      <c r="F703" s="29" t="s">
        <v>705</v>
      </c>
      <c r="G703" s="18" t="str">
        <f>+VLOOKUP(F703,[1]Лист_1!$A:$C,2,0)</f>
        <v>753621827008</v>
      </c>
      <c r="H703" s="7">
        <v>1</v>
      </c>
      <c r="I703" s="26"/>
    </row>
    <row r="704" spans="1:9" s="13" customFormat="1" ht="35.1" customHeight="1">
      <c r="A704" s="6" t="s">
        <v>276</v>
      </c>
      <c r="B704" s="11" t="s">
        <v>290</v>
      </c>
      <c r="C704" s="12" t="s">
        <v>290</v>
      </c>
      <c r="D704" s="6" t="s">
        <v>268</v>
      </c>
      <c r="E704" s="6" t="s">
        <v>14</v>
      </c>
      <c r="F704" s="6" t="s">
        <v>276</v>
      </c>
      <c r="G704" s="18" t="str">
        <f>+VLOOKUP(F704,[1]Лист_1!$A:$C,2,0)</f>
        <v>771588209890</v>
      </c>
      <c r="H704" s="7">
        <v>1</v>
      </c>
      <c r="I704" s="26"/>
    </row>
    <row r="705" spans="1:9" s="13" customFormat="1" ht="35.1" customHeight="1">
      <c r="A705" s="6" t="s">
        <v>278</v>
      </c>
      <c r="B705" s="11" t="s">
        <v>290</v>
      </c>
      <c r="C705" s="12" t="s">
        <v>290</v>
      </c>
      <c r="D705" s="6" t="s">
        <v>268</v>
      </c>
      <c r="E705" s="6" t="s">
        <v>606</v>
      </c>
      <c r="F705" s="6" t="s">
        <v>278</v>
      </c>
      <c r="G705" s="18" t="str">
        <f>+VLOOKUP(F705,[1]Лист_1!$A:$C,2,0)</f>
        <v>740414634729</v>
      </c>
      <c r="H705" s="7">
        <v>1</v>
      </c>
      <c r="I705" s="26"/>
    </row>
    <row r="706" spans="1:9" s="13" customFormat="1" ht="35.1" customHeight="1">
      <c r="A706" s="28" t="s">
        <v>25</v>
      </c>
      <c r="B706" s="11" t="s">
        <v>290</v>
      </c>
      <c r="C706" s="12" t="s">
        <v>290</v>
      </c>
      <c r="D706" s="6" t="s">
        <v>268</v>
      </c>
      <c r="E706" s="6" t="s">
        <v>614</v>
      </c>
      <c r="F706" s="28" t="s">
        <v>66</v>
      </c>
      <c r="G706" s="18"/>
      <c r="H706" s="7">
        <v>1</v>
      </c>
      <c r="I706" s="26"/>
    </row>
    <row r="707" spans="1:9" s="13" customFormat="1" ht="35.1" customHeight="1">
      <c r="A707" s="6" t="s">
        <v>657</v>
      </c>
      <c r="B707" s="11" t="s">
        <v>290</v>
      </c>
      <c r="C707" s="12" t="s">
        <v>290</v>
      </c>
      <c r="D707" s="6" t="s">
        <v>269</v>
      </c>
      <c r="E707" s="6" t="s">
        <v>14</v>
      </c>
      <c r="F707" s="6" t="s">
        <v>657</v>
      </c>
      <c r="G707" s="18" t="str">
        <f>+VLOOKUP(F707,[1]Лист_1!$A:$C,2,0)</f>
        <v>482510582390</v>
      </c>
      <c r="H707" s="7">
        <v>1</v>
      </c>
      <c r="I707" s="26"/>
    </row>
    <row r="708" spans="1:9" s="13" customFormat="1" ht="35.1" customHeight="1">
      <c r="A708" s="6" t="s">
        <v>279</v>
      </c>
      <c r="B708" s="11" t="s">
        <v>290</v>
      </c>
      <c r="C708" s="12" t="s">
        <v>290</v>
      </c>
      <c r="D708" s="6" t="s">
        <v>269</v>
      </c>
      <c r="E708" s="6" t="s">
        <v>15</v>
      </c>
      <c r="F708" s="6" t="s">
        <v>279</v>
      </c>
      <c r="G708" s="18" t="str">
        <f>+VLOOKUP(F708,[1]Лист_1!$A:$C,2,0)</f>
        <v>770373537546</v>
      </c>
      <c r="H708" s="7">
        <v>1</v>
      </c>
      <c r="I708" s="26"/>
    </row>
    <row r="709" spans="1:9" s="13" customFormat="1" ht="35.1" customHeight="1">
      <c r="A709" s="29" t="s">
        <v>847</v>
      </c>
      <c r="B709" s="11" t="s">
        <v>290</v>
      </c>
      <c r="C709" s="12" t="s">
        <v>290</v>
      </c>
      <c r="D709" s="6" t="s">
        <v>269</v>
      </c>
      <c r="E709" s="6" t="s">
        <v>607</v>
      </c>
      <c r="F709" s="29" t="s">
        <v>847</v>
      </c>
      <c r="G709" s="18" t="str">
        <f>+VLOOKUP(F709,[1]Лист_1!$A:$C,2,0)</f>
        <v>772424653628</v>
      </c>
      <c r="H709" s="7">
        <v>1</v>
      </c>
      <c r="I709" s="26"/>
    </row>
    <row r="710" spans="1:9" s="13" customFormat="1" ht="35.1" customHeight="1">
      <c r="A710" s="6" t="s">
        <v>281</v>
      </c>
      <c r="B710" s="11" t="s">
        <v>290</v>
      </c>
      <c r="C710" s="12" t="s">
        <v>290</v>
      </c>
      <c r="D710" s="6" t="s">
        <v>269</v>
      </c>
      <c r="E710" s="6" t="s">
        <v>608</v>
      </c>
      <c r="F710" s="6" t="s">
        <v>281</v>
      </c>
      <c r="G710" s="18" t="str">
        <f>+VLOOKUP(F710,[1]Лист_1!$A:$C,2,0)</f>
        <v>732817435138</v>
      </c>
      <c r="H710" s="7">
        <v>0.5</v>
      </c>
      <c r="I710" s="26"/>
    </row>
    <row r="711" spans="1:9" s="13" customFormat="1" ht="35.1" customHeight="1">
      <c r="A711" s="6" t="s">
        <v>579</v>
      </c>
      <c r="B711" s="11" t="s">
        <v>290</v>
      </c>
      <c r="C711" s="12" t="s">
        <v>290</v>
      </c>
      <c r="D711" s="6" t="s">
        <v>269</v>
      </c>
      <c r="E711" s="6" t="s">
        <v>608</v>
      </c>
      <c r="F711" s="6" t="s">
        <v>579</v>
      </c>
      <c r="G711" s="18" t="str">
        <f>+VLOOKUP(F711,[1]Лист_1!$A:$C,2,0)</f>
        <v>773423891861</v>
      </c>
      <c r="H711" s="7">
        <v>0.5</v>
      </c>
      <c r="I711" s="26"/>
    </row>
    <row r="712" spans="1:9" s="13" customFormat="1" ht="35.1" customHeight="1">
      <c r="A712" s="6" t="s">
        <v>280</v>
      </c>
      <c r="B712" s="11" t="s">
        <v>290</v>
      </c>
      <c r="C712" s="12" t="s">
        <v>290</v>
      </c>
      <c r="D712" s="6" t="s">
        <v>269</v>
      </c>
      <c r="E712" s="6" t="s">
        <v>608</v>
      </c>
      <c r="F712" s="6" t="s">
        <v>280</v>
      </c>
      <c r="G712" s="18" t="str">
        <f>+VLOOKUP(F712,[1]Лист_1!$A:$C,2,0)</f>
        <v>741510966736</v>
      </c>
      <c r="H712" s="7">
        <v>1</v>
      </c>
      <c r="I712" s="26"/>
    </row>
    <row r="713" spans="1:9" s="13" customFormat="1" ht="35.1" customHeight="1">
      <c r="A713" s="6" t="s">
        <v>282</v>
      </c>
      <c r="B713" s="11" t="s">
        <v>290</v>
      </c>
      <c r="C713" s="12" t="s">
        <v>290</v>
      </c>
      <c r="D713" s="6" t="s">
        <v>270</v>
      </c>
      <c r="E713" s="6" t="s">
        <v>148</v>
      </c>
      <c r="F713" s="6" t="s">
        <v>282</v>
      </c>
      <c r="G713" s="18" t="str">
        <f>+VLOOKUP(F713,[1]Лист_1!$A:$C,2,0)</f>
        <v>773701289975</v>
      </c>
      <c r="H713" s="7">
        <v>1</v>
      </c>
      <c r="I713" s="26"/>
    </row>
    <row r="714" spans="1:9" s="13" customFormat="1" ht="35.1" customHeight="1">
      <c r="A714" s="6" t="s">
        <v>283</v>
      </c>
      <c r="B714" s="11" t="s">
        <v>290</v>
      </c>
      <c r="C714" s="12" t="s">
        <v>290</v>
      </c>
      <c r="D714" s="6" t="s">
        <v>271</v>
      </c>
      <c r="E714" s="6" t="s">
        <v>14</v>
      </c>
      <c r="F714" s="6" t="s">
        <v>283</v>
      </c>
      <c r="G714" s="18" t="str">
        <f>+VLOOKUP(F714,[1]Лист_1!$A:$C,2,0)</f>
        <v>502728109272</v>
      </c>
      <c r="H714" s="7">
        <v>1</v>
      </c>
      <c r="I714" s="26"/>
    </row>
    <row r="715" spans="1:9" s="13" customFormat="1" ht="35.1" customHeight="1">
      <c r="A715" s="28" t="s">
        <v>25</v>
      </c>
      <c r="B715" s="11" t="s">
        <v>290</v>
      </c>
      <c r="C715" s="12" t="s">
        <v>290</v>
      </c>
      <c r="D715" s="6" t="s">
        <v>271</v>
      </c>
      <c r="E715" s="6" t="s">
        <v>614</v>
      </c>
      <c r="F715" s="28" t="s">
        <v>66</v>
      </c>
      <c r="G715" s="18"/>
      <c r="H715" s="7">
        <v>0.72499999999999998</v>
      </c>
      <c r="I715" s="26"/>
    </row>
    <row r="716" spans="1:9" s="13" customFormat="1" ht="35.1" customHeight="1">
      <c r="A716" s="29" t="s">
        <v>662</v>
      </c>
      <c r="B716" s="11" t="s">
        <v>290</v>
      </c>
      <c r="C716" s="12" t="s">
        <v>290</v>
      </c>
      <c r="D716" s="6" t="s">
        <v>271</v>
      </c>
      <c r="E716" s="6" t="s">
        <v>614</v>
      </c>
      <c r="F716" s="29" t="s">
        <v>662</v>
      </c>
      <c r="G716" s="18" t="str">
        <f>+VLOOKUP(F716,[1]Лист_1!$A:$C,2,0)</f>
        <v>560701865452</v>
      </c>
      <c r="H716" s="7">
        <v>0.27500000000000002</v>
      </c>
      <c r="I716" s="26"/>
    </row>
    <row r="717" spans="1:9" s="13" customFormat="1" ht="35.1" customHeight="1">
      <c r="A717" s="28" t="s">
        <v>25</v>
      </c>
      <c r="B717" s="11" t="s">
        <v>290</v>
      </c>
      <c r="C717" s="12" t="s">
        <v>290</v>
      </c>
      <c r="D717" s="6" t="s">
        <v>271</v>
      </c>
      <c r="E717" s="6" t="s">
        <v>614</v>
      </c>
      <c r="F717" s="28" t="s">
        <v>66</v>
      </c>
      <c r="G717" s="18"/>
      <c r="H717" s="7">
        <v>0.5</v>
      </c>
      <c r="I717" s="26"/>
    </row>
    <row r="718" spans="1:9" s="13" customFormat="1" ht="35.1" customHeight="1">
      <c r="A718" s="6" t="s">
        <v>284</v>
      </c>
      <c r="B718" s="11" t="s">
        <v>290</v>
      </c>
      <c r="C718" s="12" t="s">
        <v>290</v>
      </c>
      <c r="D718" s="6" t="s">
        <v>271</v>
      </c>
      <c r="E718" s="6" t="s">
        <v>614</v>
      </c>
      <c r="F718" s="6" t="s">
        <v>284</v>
      </c>
      <c r="G718" s="18" t="str">
        <f>+VLOOKUP(F718,[1]Лист_1!$A:$C,2,0)</f>
        <v>772168060945</v>
      </c>
      <c r="H718" s="7">
        <v>0.5</v>
      </c>
      <c r="I718" s="26"/>
    </row>
    <row r="719" spans="1:9" s="13" customFormat="1" ht="35.1" customHeight="1">
      <c r="A719" s="6" t="s">
        <v>16</v>
      </c>
      <c r="B719" s="11" t="s">
        <v>290</v>
      </c>
      <c r="C719" s="12" t="s">
        <v>290</v>
      </c>
      <c r="D719" s="6" t="s">
        <v>271</v>
      </c>
      <c r="E719" s="6" t="s">
        <v>614</v>
      </c>
      <c r="F719" s="6" t="s">
        <v>16</v>
      </c>
      <c r="G719" s="18" t="str">
        <f>+VLOOKUP(F719,[1]Лист_1!$A:$C,2,0)</f>
        <v>771984797405</v>
      </c>
      <c r="H719" s="7">
        <v>1</v>
      </c>
      <c r="I719" s="26"/>
    </row>
    <row r="720" spans="1:9" s="13" customFormat="1" ht="35.1" customHeight="1">
      <c r="A720" s="6" t="s">
        <v>285</v>
      </c>
      <c r="B720" s="11" t="s">
        <v>290</v>
      </c>
      <c r="C720" s="12" t="s">
        <v>290</v>
      </c>
      <c r="D720" s="6" t="s">
        <v>272</v>
      </c>
      <c r="E720" s="6" t="s">
        <v>14</v>
      </c>
      <c r="F720" s="6" t="s">
        <v>285</v>
      </c>
      <c r="G720" s="18" t="str">
        <f>+VLOOKUP(F720,[1]Лист_1!$A:$C,2,0)</f>
        <v>772874315001</v>
      </c>
      <c r="H720" s="7">
        <v>1</v>
      </c>
      <c r="I720" s="26"/>
    </row>
    <row r="721" spans="1:9" s="13" customFormat="1" ht="35.1" customHeight="1">
      <c r="A721" s="6" t="s">
        <v>286</v>
      </c>
      <c r="B721" s="11" t="s">
        <v>290</v>
      </c>
      <c r="C721" s="12" t="s">
        <v>290</v>
      </c>
      <c r="D721" s="6" t="s">
        <v>272</v>
      </c>
      <c r="E721" s="6" t="s">
        <v>715</v>
      </c>
      <c r="F721" s="6" t="s">
        <v>286</v>
      </c>
      <c r="G721" s="18" t="str">
        <f>+VLOOKUP(F721,[1]Лист_1!$A:$C,2,0)</f>
        <v>772372777972</v>
      </c>
      <c r="H721" s="7">
        <v>1</v>
      </c>
      <c r="I721" s="26"/>
    </row>
    <row r="722" spans="1:9" s="13" customFormat="1" ht="35.1" customHeight="1">
      <c r="A722" s="6" t="s">
        <v>883</v>
      </c>
      <c r="B722" s="11" t="s">
        <v>290</v>
      </c>
      <c r="C722" s="12" t="s">
        <v>290</v>
      </c>
      <c r="D722" s="6" t="s">
        <v>272</v>
      </c>
      <c r="E722" s="6" t="s">
        <v>614</v>
      </c>
      <c r="F722" s="6" t="s">
        <v>883</v>
      </c>
      <c r="G722" s="18" t="str">
        <f>+VLOOKUP(F722,[1]Лист_1!$A:$C,2,0)</f>
        <v>519098296566</v>
      </c>
      <c r="H722" s="7">
        <v>1</v>
      </c>
      <c r="I722" s="26"/>
    </row>
    <row r="723" spans="1:9" s="13" customFormat="1" ht="36.6" customHeight="1">
      <c r="A723" s="29" t="s">
        <v>865</v>
      </c>
      <c r="B723" s="11" t="s">
        <v>290</v>
      </c>
      <c r="C723" s="12" t="s">
        <v>968</v>
      </c>
      <c r="D723" s="6" t="s">
        <v>272</v>
      </c>
      <c r="E723" s="6" t="s">
        <v>614</v>
      </c>
      <c r="F723" s="29" t="s">
        <v>964</v>
      </c>
      <c r="G723" s="48" t="s">
        <v>965</v>
      </c>
      <c r="H723" s="7">
        <v>0.5</v>
      </c>
      <c r="I723" s="26"/>
    </row>
    <row r="724" spans="1:9" s="13" customFormat="1" ht="35.1" customHeight="1">
      <c r="A724" s="29"/>
      <c r="B724" s="11" t="s">
        <v>290</v>
      </c>
      <c r="C724" s="12" t="s">
        <v>290</v>
      </c>
      <c r="D724" s="6" t="s">
        <v>272</v>
      </c>
      <c r="E724" s="6" t="s">
        <v>614</v>
      </c>
      <c r="F724" s="28" t="s">
        <v>66</v>
      </c>
      <c r="G724" s="18"/>
      <c r="H724" s="7">
        <v>0.5</v>
      </c>
      <c r="I724" s="26"/>
    </row>
    <row r="725" spans="1:9" s="13" customFormat="1" ht="35.1" customHeight="1">
      <c r="A725" s="6" t="s">
        <v>287</v>
      </c>
      <c r="B725" s="11" t="s">
        <v>290</v>
      </c>
      <c r="C725" s="12" t="s">
        <v>290</v>
      </c>
      <c r="D725" s="6" t="s">
        <v>272</v>
      </c>
      <c r="E725" s="6" t="s">
        <v>614</v>
      </c>
      <c r="F725" s="6" t="s">
        <v>287</v>
      </c>
      <c r="G725" s="18" t="str">
        <f>+VLOOKUP(F725,[1]Лист_1!$A:$C,2,0)</f>
        <v>504220123665</v>
      </c>
      <c r="H725" s="7">
        <v>1</v>
      </c>
      <c r="I725" s="26"/>
    </row>
    <row r="726" spans="1:9" s="13" customFormat="1" ht="35.1" customHeight="1">
      <c r="A726" s="6" t="s">
        <v>288</v>
      </c>
      <c r="B726" s="11" t="s">
        <v>290</v>
      </c>
      <c r="C726" s="12" t="s">
        <v>290</v>
      </c>
      <c r="D726" s="6" t="s">
        <v>273</v>
      </c>
      <c r="E726" s="6" t="s">
        <v>14</v>
      </c>
      <c r="F726" s="6" t="s">
        <v>288</v>
      </c>
      <c r="G726" s="18" t="str">
        <f>+VLOOKUP(F726,[1]Лист_1!$A:$C,2,0)</f>
        <v>771319181050</v>
      </c>
      <c r="H726" s="7">
        <v>1</v>
      </c>
      <c r="I726" s="26"/>
    </row>
    <row r="727" spans="1:9" s="13" customFormat="1" ht="35.1" customHeight="1">
      <c r="A727" s="29" t="s">
        <v>829</v>
      </c>
      <c r="B727" s="11" t="s">
        <v>290</v>
      </c>
      <c r="C727" s="12" t="s">
        <v>290</v>
      </c>
      <c r="D727" s="6" t="s">
        <v>273</v>
      </c>
      <c r="E727" s="6" t="s">
        <v>15</v>
      </c>
      <c r="F727" s="29" t="s">
        <v>829</v>
      </c>
      <c r="G727" s="18" t="str">
        <f>+VLOOKUP(F727,[1]Лист_1!$A:$C,2,0)</f>
        <v>470318060462</v>
      </c>
      <c r="H727" s="7">
        <v>1</v>
      </c>
      <c r="I727" s="26"/>
    </row>
    <row r="728" spans="1:9" s="13" customFormat="1" ht="35.1" customHeight="1">
      <c r="A728" s="6" t="s">
        <v>277</v>
      </c>
      <c r="B728" s="11" t="s">
        <v>290</v>
      </c>
      <c r="C728" s="12" t="s">
        <v>290</v>
      </c>
      <c r="D728" s="6" t="s">
        <v>273</v>
      </c>
      <c r="E728" s="6" t="s">
        <v>632</v>
      </c>
      <c r="F728" s="6" t="s">
        <v>277</v>
      </c>
      <c r="G728" s="18" t="str">
        <f>+VLOOKUP(F728,[1]Лист_1!$A:$C,2,0)</f>
        <v>744611967026</v>
      </c>
      <c r="H728" s="7">
        <v>1</v>
      </c>
      <c r="I728" s="26"/>
    </row>
    <row r="729" spans="1:9" s="13" customFormat="1" ht="35.1" customHeight="1">
      <c r="A729" s="29" t="s">
        <v>667</v>
      </c>
      <c r="B729" s="11" t="s">
        <v>290</v>
      </c>
      <c r="C729" s="12" t="s">
        <v>290</v>
      </c>
      <c r="D729" s="6" t="s">
        <v>273</v>
      </c>
      <c r="E729" s="6" t="s">
        <v>26</v>
      </c>
      <c r="F729" s="29" t="s">
        <v>667</v>
      </c>
      <c r="G729" s="18" t="str">
        <f>+VLOOKUP(F729,[1]Лист_1!$A:$C,2,0)</f>
        <v>590320655060</v>
      </c>
      <c r="H729" s="7">
        <v>1</v>
      </c>
      <c r="I729" s="26"/>
    </row>
    <row r="730" spans="1:9" s="13" customFormat="1" ht="35.1" customHeight="1">
      <c r="A730" s="6" t="s">
        <v>289</v>
      </c>
      <c r="B730" s="11" t="s">
        <v>290</v>
      </c>
      <c r="C730" s="12" t="s">
        <v>290</v>
      </c>
      <c r="D730" s="6" t="s">
        <v>273</v>
      </c>
      <c r="E730" s="6" t="s">
        <v>609</v>
      </c>
      <c r="F730" s="6" t="s">
        <v>289</v>
      </c>
      <c r="G730" s="18" t="str">
        <f>+VLOOKUP(F730,[1]Лист_1!$A:$C,2,0)</f>
        <v>236500076902</v>
      </c>
      <c r="H730" s="7">
        <v>1</v>
      </c>
      <c r="I730" s="26"/>
    </row>
    <row r="731" spans="1:9" s="13" customFormat="1" ht="35.1" customHeight="1">
      <c r="A731" s="29" t="s">
        <v>689</v>
      </c>
      <c r="B731" s="11" t="s">
        <v>290</v>
      </c>
      <c r="C731" s="12" t="s">
        <v>290</v>
      </c>
      <c r="D731" s="6" t="s">
        <v>273</v>
      </c>
      <c r="E731" s="6" t="s">
        <v>637</v>
      </c>
      <c r="F731" s="29" t="s">
        <v>689</v>
      </c>
      <c r="G731" s="18" t="str">
        <f>+VLOOKUP(F731,[1]Лист_1!$A:$C,2,0)</f>
        <v>772917339916</v>
      </c>
      <c r="H731" s="7">
        <v>1</v>
      </c>
      <c r="I731" s="26"/>
    </row>
    <row r="732" spans="1:9" s="13" customFormat="1" ht="35.1" customHeight="1">
      <c r="A732" s="29" t="s">
        <v>750</v>
      </c>
      <c r="B732" s="11" t="s">
        <v>290</v>
      </c>
      <c r="C732" s="12" t="s">
        <v>290</v>
      </c>
      <c r="D732" s="6" t="s">
        <v>273</v>
      </c>
      <c r="E732" s="6" t="s">
        <v>610</v>
      </c>
      <c r="F732" s="29" t="s">
        <v>750</v>
      </c>
      <c r="G732" s="18" t="str">
        <f>+VLOOKUP(F732,[1]Лист_1!$A:$C,2,0)</f>
        <v>644910557106</v>
      </c>
      <c r="H732" s="7">
        <v>1</v>
      </c>
      <c r="I732" s="26"/>
    </row>
    <row r="733" spans="1:9" s="13" customFormat="1" ht="35.1" customHeight="1">
      <c r="A733" s="29" t="s">
        <v>776</v>
      </c>
      <c r="B733" s="11" t="s">
        <v>290</v>
      </c>
      <c r="C733" s="12" t="s">
        <v>290</v>
      </c>
      <c r="D733" s="6" t="s">
        <v>273</v>
      </c>
      <c r="E733" s="6" t="s">
        <v>611</v>
      </c>
      <c r="F733" s="29" t="s">
        <v>776</v>
      </c>
      <c r="G733" s="18" t="str">
        <f>+VLOOKUP(F733,[1]Лист_1!$A:$C,2,0)</f>
        <v>890510622505</v>
      </c>
      <c r="H733" s="7">
        <v>1</v>
      </c>
      <c r="I733" s="26"/>
    </row>
    <row r="734" spans="1:9" s="13" customFormat="1" ht="35.1" customHeight="1">
      <c r="B734" s="44"/>
      <c r="C734" s="44"/>
      <c r="D734" s="44"/>
      <c r="E734" s="44"/>
      <c r="F734" s="51"/>
      <c r="G734" s="44"/>
      <c r="H734" s="14">
        <f>SUM(H701:H733)</f>
        <v>29</v>
      </c>
      <c r="I734" s="37"/>
    </row>
    <row r="735" spans="1:9" s="13" customFormat="1" ht="35.1" customHeight="1">
      <c r="A735" s="6" t="s">
        <v>8</v>
      </c>
      <c r="B735" s="11" t="s">
        <v>7</v>
      </c>
      <c r="C735" s="12" t="s">
        <v>7</v>
      </c>
      <c r="D735" s="6" t="s">
        <v>6</v>
      </c>
      <c r="E735" s="6" t="s">
        <v>12</v>
      </c>
      <c r="F735" s="6" t="s">
        <v>8</v>
      </c>
      <c r="G735" s="18" t="str">
        <f>+VLOOKUP(F735,[1]Лист_1!$A:$C,2,0)</f>
        <v>771375688020</v>
      </c>
      <c r="H735" s="8">
        <v>1</v>
      </c>
      <c r="I735" s="26"/>
    </row>
    <row r="736" spans="1:9" s="13" customFormat="1" ht="35.1" customHeight="1">
      <c r="A736" s="6" t="s">
        <v>9</v>
      </c>
      <c r="B736" s="11" t="s">
        <v>7</v>
      </c>
      <c r="C736" s="12" t="s">
        <v>7</v>
      </c>
      <c r="D736" s="6" t="s">
        <v>6</v>
      </c>
      <c r="E736" s="6" t="s">
        <v>11</v>
      </c>
      <c r="F736" s="6" t="s">
        <v>9</v>
      </c>
      <c r="G736" s="18" t="str">
        <f>+VLOOKUP(F736,[1]Лист_1!$A:$C,2,0)</f>
        <v>772608045475</v>
      </c>
      <c r="H736" s="8">
        <v>1</v>
      </c>
      <c r="I736" s="26"/>
    </row>
    <row r="737" spans="1:9" s="13" customFormat="1" ht="35.1" customHeight="1">
      <c r="A737" s="6" t="s">
        <v>19</v>
      </c>
      <c r="B737" s="11" t="s">
        <v>7</v>
      </c>
      <c r="C737" s="12" t="s">
        <v>7</v>
      </c>
      <c r="D737" s="6" t="s">
        <v>13</v>
      </c>
      <c r="E737" s="6" t="s">
        <v>14</v>
      </c>
      <c r="F737" s="6" t="s">
        <v>19</v>
      </c>
      <c r="G737" s="18" t="str">
        <f>+VLOOKUP(F737,[1]Лист_1!$A:$C,2,0)</f>
        <v>383403514589</v>
      </c>
      <c r="H737" s="8">
        <v>1</v>
      </c>
      <c r="I737" s="26"/>
    </row>
    <row r="738" spans="1:9" s="13" customFormat="1" ht="35.1" customHeight="1">
      <c r="A738" s="6" t="s">
        <v>10</v>
      </c>
      <c r="B738" s="11" t="s">
        <v>7</v>
      </c>
      <c r="C738" s="12" t="s">
        <v>7</v>
      </c>
      <c r="D738" s="6" t="s">
        <v>13</v>
      </c>
      <c r="E738" s="6" t="s">
        <v>15</v>
      </c>
      <c r="F738" s="6" t="s">
        <v>10</v>
      </c>
      <c r="G738" s="18" t="str">
        <f>+VLOOKUP(F738,[1]Лист_1!$A:$C,2,0)</f>
        <v>772084380875</v>
      </c>
      <c r="H738" s="8">
        <v>0</v>
      </c>
      <c r="I738" s="26"/>
    </row>
    <row r="739" spans="1:9" s="13" customFormat="1" ht="35.1" customHeight="1">
      <c r="A739" s="6" t="s">
        <v>18</v>
      </c>
      <c r="B739" s="11" t="s">
        <v>7</v>
      </c>
      <c r="C739" s="12" t="s">
        <v>7</v>
      </c>
      <c r="D739" s="6" t="s">
        <v>13</v>
      </c>
      <c r="E739" s="6" t="s">
        <v>15</v>
      </c>
      <c r="F739" s="6" t="s">
        <v>18</v>
      </c>
      <c r="G739" s="18" t="str">
        <f>+VLOOKUP(F739,[1]Лист_1!$A:$C,2,0)</f>
        <v>773380026869</v>
      </c>
      <c r="H739" s="8">
        <v>1</v>
      </c>
      <c r="I739" s="26"/>
    </row>
    <row r="740" spans="1:9" s="13" customFormat="1" ht="35.1" customHeight="1">
      <c r="A740" s="29" t="s">
        <v>23</v>
      </c>
      <c r="B740" s="11" t="s">
        <v>7</v>
      </c>
      <c r="C740" s="12" t="s">
        <v>7</v>
      </c>
      <c r="D740" s="6" t="s">
        <v>13</v>
      </c>
      <c r="E740" s="6" t="s">
        <v>613</v>
      </c>
      <c r="F740" s="29" t="s">
        <v>23</v>
      </c>
      <c r="G740" s="18" t="str">
        <f>+VLOOKUP(F740,[1]Лист_1!$A:$C,2,0)</f>
        <v>771708242676</v>
      </c>
      <c r="H740" s="8">
        <v>1</v>
      </c>
      <c r="I740" s="26"/>
    </row>
    <row r="741" spans="1:9" s="13" customFormat="1" ht="36.6" customHeight="1">
      <c r="A741" s="6" t="s">
        <v>656</v>
      </c>
      <c r="B741" s="11" t="s">
        <v>7</v>
      </c>
      <c r="C741" s="12" t="s">
        <v>7</v>
      </c>
      <c r="D741" s="6" t="s">
        <v>13</v>
      </c>
      <c r="E741" s="6" t="s">
        <v>613</v>
      </c>
      <c r="F741" s="6" t="s">
        <v>656</v>
      </c>
      <c r="G741" s="18" t="str">
        <f>+VLOOKUP(F741,[1]Лист_1!$A:$C,2,0)</f>
        <v>505399227837</v>
      </c>
      <c r="H741" s="8">
        <v>1</v>
      </c>
      <c r="I741" s="26"/>
    </row>
    <row r="742" spans="1:9" s="13" customFormat="1" ht="35.1" customHeight="1">
      <c r="A742" s="29" t="s">
        <v>707</v>
      </c>
      <c r="B742" s="11" t="s">
        <v>7</v>
      </c>
      <c r="C742" s="12" t="s">
        <v>7</v>
      </c>
      <c r="D742" s="6" t="s">
        <v>20</v>
      </c>
      <c r="E742" s="6" t="s">
        <v>14</v>
      </c>
      <c r="F742" s="29" t="s">
        <v>707</v>
      </c>
      <c r="G742" s="18" t="str">
        <f>+VLOOKUP(F742,[1]Лист_1!$A:$C,2,0)</f>
        <v>232011729146</v>
      </c>
      <c r="H742" s="8">
        <v>1</v>
      </c>
      <c r="I742" s="26"/>
    </row>
    <row r="743" spans="1:9" s="13" customFormat="1" ht="35.1" customHeight="1">
      <c r="A743" s="29" t="s">
        <v>675</v>
      </c>
      <c r="B743" s="11" t="s">
        <v>7</v>
      </c>
      <c r="C743" s="12" t="s">
        <v>7</v>
      </c>
      <c r="D743" s="6" t="s">
        <v>20</v>
      </c>
      <c r="E743" s="6" t="s">
        <v>615</v>
      </c>
      <c r="F743" s="29" t="s">
        <v>675</v>
      </c>
      <c r="G743" s="18" t="str">
        <f>+VLOOKUP(F743,[1]Лист_1!$A:$C,2,0)</f>
        <v>860204080540</v>
      </c>
      <c r="H743" s="8">
        <v>1</v>
      </c>
      <c r="I743" s="26"/>
    </row>
    <row r="744" spans="1:9" s="13" customFormat="1" ht="35.1" customHeight="1">
      <c r="A744" s="28" t="s">
        <v>25</v>
      </c>
      <c r="B744" s="11" t="s">
        <v>7</v>
      </c>
      <c r="C744" s="12" t="s">
        <v>7</v>
      </c>
      <c r="D744" s="6" t="s">
        <v>20</v>
      </c>
      <c r="E744" s="6" t="s">
        <v>615</v>
      </c>
      <c r="F744" s="28" t="s">
        <v>66</v>
      </c>
      <c r="G744" s="18"/>
      <c r="H744" s="8">
        <v>1</v>
      </c>
      <c r="I744" s="26"/>
    </row>
    <row r="745" spans="1:9" s="13" customFormat="1" ht="35.1" customHeight="1">
      <c r="A745" s="29" t="s">
        <v>757</v>
      </c>
      <c r="B745" s="11" t="s">
        <v>7</v>
      </c>
      <c r="C745" s="12" t="s">
        <v>7</v>
      </c>
      <c r="D745" s="6" t="s">
        <v>20</v>
      </c>
      <c r="E745" s="6" t="s">
        <v>615</v>
      </c>
      <c r="F745" s="29" t="s">
        <v>757</v>
      </c>
      <c r="G745" s="18" t="str">
        <f>+VLOOKUP(F745,[1]Лист_1!$A:$C,2,0)</f>
        <v>233706944321</v>
      </c>
      <c r="H745" s="8">
        <v>1</v>
      </c>
      <c r="I745" s="26"/>
    </row>
    <row r="746" spans="1:9" s="13" customFormat="1" ht="35.1" customHeight="1">
      <c r="A746" s="6" t="s">
        <v>751</v>
      </c>
      <c r="B746" s="11" t="s">
        <v>7</v>
      </c>
      <c r="C746" s="12" t="s">
        <v>7</v>
      </c>
      <c r="D746" s="6" t="s">
        <v>755</v>
      </c>
      <c r="E746" s="6" t="s">
        <v>67</v>
      </c>
      <c r="F746" s="6" t="s">
        <v>751</v>
      </c>
      <c r="G746" s="18" t="str">
        <f>+VLOOKUP(F746,[1]Лист_1!$A:$C,2,0)</f>
        <v>771577175624</v>
      </c>
      <c r="H746" s="8">
        <v>1</v>
      </c>
      <c r="I746" s="26"/>
    </row>
    <row r="747" spans="1:9" s="13" customFormat="1" ht="35.1" customHeight="1">
      <c r="A747" s="6" t="s">
        <v>27</v>
      </c>
      <c r="B747" s="11" t="s">
        <v>7</v>
      </c>
      <c r="C747" s="12" t="s">
        <v>7</v>
      </c>
      <c r="D747" s="6" t="s">
        <v>755</v>
      </c>
      <c r="E747" s="6" t="s">
        <v>715</v>
      </c>
      <c r="F747" s="6" t="s">
        <v>27</v>
      </c>
      <c r="G747" s="18" t="str">
        <f>+VLOOKUP(F747,[1]Лист_1!$A:$C,2,0)</f>
        <v>645117695789</v>
      </c>
      <c r="H747" s="8">
        <v>1</v>
      </c>
      <c r="I747" s="26"/>
    </row>
    <row r="748" spans="1:9" s="13" customFormat="1" ht="35.1" customHeight="1">
      <c r="A748" s="6" t="s">
        <v>22</v>
      </c>
      <c r="B748" s="11" t="s">
        <v>7</v>
      </c>
      <c r="C748" s="12" t="s">
        <v>7</v>
      </c>
      <c r="D748" s="6" t="s">
        <v>755</v>
      </c>
      <c r="E748" s="6" t="s">
        <v>729</v>
      </c>
      <c r="F748" s="6" t="s">
        <v>22</v>
      </c>
      <c r="G748" s="18" t="str">
        <f>+VLOOKUP(F748,[1]Лист_1!$A:$C,2,0)</f>
        <v>614316766754</v>
      </c>
      <c r="H748" s="8">
        <v>1</v>
      </c>
      <c r="I748" s="26"/>
    </row>
    <row r="749" spans="1:9" s="13" customFormat="1" ht="35.1" customHeight="1">
      <c r="A749" s="29" t="s">
        <v>756</v>
      </c>
      <c r="B749" s="11" t="s">
        <v>7</v>
      </c>
      <c r="C749" s="12" t="s">
        <v>7</v>
      </c>
      <c r="D749" s="6" t="s">
        <v>755</v>
      </c>
      <c r="E749" s="6" t="s">
        <v>729</v>
      </c>
      <c r="F749" s="29" t="s">
        <v>756</v>
      </c>
      <c r="G749" s="18" t="str">
        <f>+VLOOKUP(F749,[1]Лист_1!$A:$C,2,0)</f>
        <v>774335705204</v>
      </c>
      <c r="H749" s="8">
        <v>1</v>
      </c>
      <c r="I749" s="26"/>
    </row>
    <row r="750" spans="1:9" s="13" customFormat="1" ht="35.1" customHeight="1">
      <c r="A750" s="29" t="s">
        <v>764</v>
      </c>
      <c r="B750" s="11" t="s">
        <v>7</v>
      </c>
      <c r="C750" s="12" t="s">
        <v>7</v>
      </c>
      <c r="D750" s="6" t="s">
        <v>755</v>
      </c>
      <c r="E750" s="6" t="s">
        <v>729</v>
      </c>
      <c r="F750" s="29" t="s">
        <v>764</v>
      </c>
      <c r="G750" s="18" t="str">
        <f>+VLOOKUP(F750,[1]Лист_1!$A:$C,2,0)</f>
        <v>482618812650</v>
      </c>
      <c r="H750" s="8">
        <v>1</v>
      </c>
      <c r="I750" s="26"/>
    </row>
    <row r="751" spans="1:9" s="13" customFormat="1" ht="35.1" customHeight="1">
      <c r="A751" s="29" t="s">
        <v>17</v>
      </c>
      <c r="B751" s="11" t="s">
        <v>7</v>
      </c>
      <c r="C751" s="12" t="s">
        <v>7</v>
      </c>
      <c r="D751" s="6" t="s">
        <v>731</v>
      </c>
      <c r="E751" s="6" t="s">
        <v>12</v>
      </c>
      <c r="F751" s="29" t="s">
        <v>17</v>
      </c>
      <c r="G751" s="18" t="str">
        <f>+VLOOKUP(F751,[1]Лист_1!$A:$C,2,0)</f>
        <v>772086774160</v>
      </c>
      <c r="H751" s="8">
        <v>1</v>
      </c>
      <c r="I751" s="26"/>
    </row>
    <row r="752" spans="1:9" s="13" customFormat="1" ht="35.1" customHeight="1">
      <c r="A752" s="29" t="s">
        <v>942</v>
      </c>
      <c r="B752" s="11" t="s">
        <v>7</v>
      </c>
      <c r="C752" s="12" t="s">
        <v>7</v>
      </c>
      <c r="D752" s="6" t="s">
        <v>731</v>
      </c>
      <c r="E752" s="6" t="s">
        <v>149</v>
      </c>
      <c r="F752" s="29" t="s">
        <v>942</v>
      </c>
      <c r="G752" s="18" t="str">
        <f>+VLOOKUP(F752,[1]Лист_1!$A:$C,2,0)</f>
        <v>213006491433</v>
      </c>
      <c r="H752" s="8">
        <v>1</v>
      </c>
      <c r="I752" s="26"/>
    </row>
    <row r="753" spans="1:9" s="13" customFormat="1" ht="35.1" customHeight="1">
      <c r="A753" s="6" t="s">
        <v>21</v>
      </c>
      <c r="B753" s="11" t="s">
        <v>7</v>
      </c>
      <c r="C753" s="12" t="s">
        <v>7</v>
      </c>
      <c r="D753" s="6" t="s">
        <v>731</v>
      </c>
      <c r="E753" s="6" t="s">
        <v>715</v>
      </c>
      <c r="F753" s="6" t="s">
        <v>21</v>
      </c>
      <c r="G753" s="18" t="str">
        <f>+VLOOKUP(F753,[1]Лист_1!$A:$C,2,0)</f>
        <v>501817873008</v>
      </c>
      <c r="H753" s="8">
        <v>1</v>
      </c>
      <c r="I753" s="26"/>
    </row>
    <row r="754" spans="1:9" s="13" customFormat="1" ht="35.1" customHeight="1">
      <c r="A754" s="6" t="s">
        <v>677</v>
      </c>
      <c r="B754" s="11" t="s">
        <v>7</v>
      </c>
      <c r="C754" s="12" t="s">
        <v>7</v>
      </c>
      <c r="D754" s="6" t="s">
        <v>731</v>
      </c>
      <c r="E754" s="6" t="s">
        <v>715</v>
      </c>
      <c r="F754" s="6" t="s">
        <v>677</v>
      </c>
      <c r="G754" s="18" t="str">
        <f>+VLOOKUP(F754,[1]Лист_1!$A:$C,2,0)</f>
        <v>781715024403</v>
      </c>
      <c r="H754" s="8">
        <v>1</v>
      </c>
      <c r="I754" s="26"/>
    </row>
    <row r="755" spans="1:9" s="13" customFormat="1" ht="35.1" customHeight="1">
      <c r="A755" s="31" t="s">
        <v>943</v>
      </c>
      <c r="B755" s="11" t="s">
        <v>7</v>
      </c>
      <c r="C755" s="12" t="s">
        <v>7</v>
      </c>
      <c r="D755" s="6" t="s">
        <v>731</v>
      </c>
      <c r="E755" s="6" t="s">
        <v>729</v>
      </c>
      <c r="F755" s="29" t="s">
        <v>943</v>
      </c>
      <c r="G755" s="18" t="str">
        <f>+VLOOKUP(F755,[1]Лист_1!$A:$C,2,0)</f>
        <v>563805968708</v>
      </c>
      <c r="H755" s="8">
        <v>1</v>
      </c>
      <c r="I755" s="26"/>
    </row>
    <row r="756" spans="1:9" s="13" customFormat="1" ht="35.1" customHeight="1">
      <c r="A756" s="6" t="s">
        <v>828</v>
      </c>
      <c r="B756" s="11" t="s">
        <v>7</v>
      </c>
      <c r="C756" s="12" t="s">
        <v>7</v>
      </c>
      <c r="D756" s="6" t="s">
        <v>731</v>
      </c>
      <c r="E756" s="6" t="s">
        <v>729</v>
      </c>
      <c r="F756" s="6" t="s">
        <v>828</v>
      </c>
      <c r="G756" s="18" t="str">
        <f>+VLOOKUP(F756,[1]Лист_1!$A:$C,2,0)</f>
        <v>024204459515</v>
      </c>
      <c r="H756" s="8">
        <v>1</v>
      </c>
      <c r="I756" s="26"/>
    </row>
    <row r="757" spans="1:9" s="13" customFormat="1" ht="35.1" customHeight="1">
      <c r="A757" s="6" t="s">
        <v>24</v>
      </c>
      <c r="B757" s="11" t="s">
        <v>7</v>
      </c>
      <c r="C757" s="12" t="s">
        <v>7</v>
      </c>
      <c r="D757" s="6" t="s">
        <v>731</v>
      </c>
      <c r="E757" s="6" t="s">
        <v>730</v>
      </c>
      <c r="F757" s="6" t="s">
        <v>24</v>
      </c>
      <c r="G757" s="18" t="str">
        <f>+VLOOKUP(F757,[1]Лист_1!$A:$C,2,0)</f>
        <v>772024051594</v>
      </c>
      <c r="H757" s="8">
        <v>1</v>
      </c>
      <c r="I757" s="26"/>
    </row>
    <row r="758" spans="1:9" s="13" customFormat="1" ht="35.1" customHeight="1">
      <c r="B758" s="44"/>
      <c r="C758" s="44"/>
      <c r="D758" s="44"/>
      <c r="E758" s="44"/>
      <c r="F758" s="51"/>
      <c r="G758" s="44"/>
      <c r="H758" s="14">
        <f>SUM(H735:H757)</f>
        <v>22</v>
      </c>
      <c r="I758" s="37"/>
    </row>
    <row r="759" spans="1:9" s="13" customFormat="1" ht="35.1" customHeight="1">
      <c r="A759" s="6" t="s">
        <v>31</v>
      </c>
      <c r="B759" s="11" t="s">
        <v>39</v>
      </c>
      <c r="C759" s="12" t="s">
        <v>39</v>
      </c>
      <c r="D759" s="6" t="s">
        <v>28</v>
      </c>
      <c r="E759" s="6" t="s">
        <v>12</v>
      </c>
      <c r="F759" s="6" t="s">
        <v>31</v>
      </c>
      <c r="G759" s="18" t="str">
        <f>+VLOOKUP(F759,[1]Лист_1!$A:$C,2,0)</f>
        <v>772378545960</v>
      </c>
      <c r="H759" s="8">
        <v>1</v>
      </c>
      <c r="I759" s="26"/>
    </row>
    <row r="760" spans="1:9" s="13" customFormat="1" ht="35.1" customHeight="1">
      <c r="A760" s="6" t="s">
        <v>35</v>
      </c>
      <c r="B760" s="11" t="s">
        <v>39</v>
      </c>
      <c r="C760" s="12" t="s">
        <v>39</v>
      </c>
      <c r="D760" s="6" t="s">
        <v>28</v>
      </c>
      <c r="E760" s="6" t="s">
        <v>149</v>
      </c>
      <c r="F760" s="6" t="s">
        <v>35</v>
      </c>
      <c r="G760" s="18" t="str">
        <f>+VLOOKUP(F760,[1]Лист_1!$A:$C,2,0)</f>
        <v>772157092286</v>
      </c>
      <c r="H760" s="8">
        <v>1</v>
      </c>
      <c r="I760" s="26"/>
    </row>
    <row r="761" spans="1:9" s="13" customFormat="1" ht="35.1" customHeight="1">
      <c r="A761" s="6" t="s">
        <v>34</v>
      </c>
      <c r="B761" s="11" t="s">
        <v>39</v>
      </c>
      <c r="C761" s="12" t="s">
        <v>39</v>
      </c>
      <c r="D761" s="6" t="s">
        <v>29</v>
      </c>
      <c r="E761" s="6" t="s">
        <v>14</v>
      </c>
      <c r="F761" s="6" t="s">
        <v>34</v>
      </c>
      <c r="G761" s="18" t="str">
        <f>+VLOOKUP(F761,[1]Лист_1!$A:$C,2,0)</f>
        <v>772826554401</v>
      </c>
      <c r="H761" s="8">
        <v>1</v>
      </c>
      <c r="I761" s="26"/>
    </row>
    <row r="762" spans="1:9" s="13" customFormat="1" ht="35.1" customHeight="1">
      <c r="A762" s="6" t="s">
        <v>32</v>
      </c>
      <c r="B762" s="11" t="s">
        <v>39</v>
      </c>
      <c r="C762" s="12" t="s">
        <v>39</v>
      </c>
      <c r="D762" s="6" t="s">
        <v>29</v>
      </c>
      <c r="E762" s="6" t="s">
        <v>612</v>
      </c>
      <c r="F762" s="6" t="s">
        <v>32</v>
      </c>
      <c r="G762" s="18" t="str">
        <f>+VLOOKUP(F762,[1]Лист_1!$A:$C,2,0)</f>
        <v>772155768508</v>
      </c>
      <c r="H762" s="8">
        <v>1</v>
      </c>
      <c r="I762" s="26"/>
    </row>
    <row r="763" spans="1:9" s="13" customFormat="1" ht="35.1" customHeight="1">
      <c r="A763" s="6" t="s">
        <v>33</v>
      </c>
      <c r="B763" s="11" t="s">
        <v>39</v>
      </c>
      <c r="C763" s="12" t="s">
        <v>39</v>
      </c>
      <c r="D763" s="6" t="s">
        <v>29</v>
      </c>
      <c r="E763" s="6" t="s">
        <v>612</v>
      </c>
      <c r="F763" s="6" t="s">
        <v>33</v>
      </c>
      <c r="G763" s="18" t="str">
        <f>+VLOOKUP(F763,[1]Лист_1!$A:$C,2,0)</f>
        <v>504906120403</v>
      </c>
      <c r="H763" s="8">
        <v>1</v>
      </c>
      <c r="I763" s="26"/>
    </row>
    <row r="764" spans="1:9" s="13" customFormat="1" ht="35.1" customHeight="1">
      <c r="A764" s="6" t="s">
        <v>38</v>
      </c>
      <c r="B764" s="11" t="s">
        <v>39</v>
      </c>
      <c r="C764" s="12" t="s">
        <v>39</v>
      </c>
      <c r="D764" s="6" t="s">
        <v>30</v>
      </c>
      <c r="E764" s="6" t="s">
        <v>612</v>
      </c>
      <c r="F764" s="6" t="s">
        <v>38</v>
      </c>
      <c r="G764" s="18" t="str">
        <f>+VLOOKUP(F764,[1]Лист_1!$A:$C,2,0)</f>
        <v>502714973884</v>
      </c>
      <c r="H764" s="8">
        <v>1</v>
      </c>
      <c r="I764" s="26"/>
    </row>
    <row r="765" spans="1:9" s="13" customFormat="1" ht="35.1" customHeight="1">
      <c r="A765" s="6" t="s">
        <v>37</v>
      </c>
      <c r="B765" s="11" t="s">
        <v>39</v>
      </c>
      <c r="C765" s="12" t="s">
        <v>39</v>
      </c>
      <c r="D765" s="6" t="s">
        <v>30</v>
      </c>
      <c r="E765" s="6" t="s">
        <v>612</v>
      </c>
      <c r="F765" s="6" t="s">
        <v>37</v>
      </c>
      <c r="G765" s="18" t="str">
        <f>+VLOOKUP(F765,[1]Лист_1!$A:$C,2,0)</f>
        <v>771672187637</v>
      </c>
      <c r="H765" s="8">
        <v>1</v>
      </c>
      <c r="I765" s="26"/>
    </row>
    <row r="766" spans="1:9" s="13" customFormat="1" ht="35.1" customHeight="1">
      <c r="A766" s="6" t="s">
        <v>36</v>
      </c>
      <c r="B766" s="11" t="s">
        <v>39</v>
      </c>
      <c r="C766" s="12" t="s">
        <v>39</v>
      </c>
      <c r="D766" s="6" t="s">
        <v>30</v>
      </c>
      <c r="E766" s="6" t="s">
        <v>612</v>
      </c>
      <c r="F766" s="6" t="s">
        <v>36</v>
      </c>
      <c r="G766" s="18" t="str">
        <f>+VLOOKUP(F766,[1]Лист_1!$A:$C,2,0)</f>
        <v>770506842654</v>
      </c>
      <c r="H766" s="8">
        <v>0.5</v>
      </c>
      <c r="I766" s="26"/>
    </row>
    <row r="767" spans="1:9" s="13" customFormat="1" ht="35.1" customHeight="1">
      <c r="A767" s="6" t="s">
        <v>646</v>
      </c>
      <c r="B767" s="11" t="s">
        <v>39</v>
      </c>
      <c r="C767" s="12" t="s">
        <v>39</v>
      </c>
      <c r="D767" s="6" t="s">
        <v>30</v>
      </c>
      <c r="E767" s="6" t="s">
        <v>612</v>
      </c>
      <c r="F767" s="6" t="s">
        <v>646</v>
      </c>
      <c r="G767" s="18" t="str">
        <f>+VLOOKUP(F767,[1]Лист_1!$A:$C,2,0)</f>
        <v>230816133602</v>
      </c>
      <c r="H767" s="8">
        <v>0.5</v>
      </c>
      <c r="I767" s="26"/>
    </row>
    <row r="768" spans="1:9" s="13" customFormat="1" ht="35.1" customHeight="1">
      <c r="B768" s="43"/>
      <c r="C768" s="44"/>
      <c r="D768" s="44"/>
      <c r="E768" s="44"/>
      <c r="F768" s="51"/>
      <c r="G768" s="44"/>
      <c r="H768" s="14">
        <f>SUM(H759:H767)</f>
        <v>8</v>
      </c>
      <c r="I768" s="37"/>
    </row>
    <row r="769" spans="1:9" s="13" customFormat="1" ht="35.1" customHeight="1">
      <c r="A769" s="6" t="s">
        <v>553</v>
      </c>
      <c r="B769" s="11" t="s">
        <v>261</v>
      </c>
      <c r="C769" s="12" t="s">
        <v>261</v>
      </c>
      <c r="D769" s="6" t="s">
        <v>513</v>
      </c>
      <c r="E769" s="6" t="s">
        <v>12</v>
      </c>
      <c r="F769" s="6" t="s">
        <v>553</v>
      </c>
      <c r="G769" s="18" t="str">
        <f>+VLOOKUP(F769,[1]Лист_1!$A:$C,2,0)</f>
        <v>504708332501</v>
      </c>
      <c r="H769" s="7">
        <v>1</v>
      </c>
      <c r="I769" s="26"/>
    </row>
    <row r="770" spans="1:9" s="13" customFormat="1" ht="35.1" customHeight="1">
      <c r="A770" s="6" t="s">
        <v>558</v>
      </c>
      <c r="B770" s="11" t="s">
        <v>261</v>
      </c>
      <c r="C770" s="12" t="s">
        <v>261</v>
      </c>
      <c r="D770" s="6" t="s">
        <v>513</v>
      </c>
      <c r="E770" s="6" t="s">
        <v>149</v>
      </c>
      <c r="F770" s="6" t="s">
        <v>558</v>
      </c>
      <c r="G770" s="18" t="str">
        <f>+VLOOKUP(F770,[1]Лист_1!$A:$C,2,0)</f>
        <v>503022736308</v>
      </c>
      <c r="H770" s="7">
        <v>1</v>
      </c>
      <c r="I770" s="26"/>
    </row>
    <row r="771" spans="1:9" s="13" customFormat="1" ht="35.1" customHeight="1">
      <c r="A771" s="6" t="s">
        <v>673</v>
      </c>
      <c r="B771" s="11" t="s">
        <v>261</v>
      </c>
      <c r="C771" s="12" t="s">
        <v>261</v>
      </c>
      <c r="D771" s="6" t="s">
        <v>513</v>
      </c>
      <c r="E771" s="6" t="s">
        <v>620</v>
      </c>
      <c r="F771" s="6" t="s">
        <v>673</v>
      </c>
      <c r="G771" s="18" t="str">
        <f>+VLOOKUP(F771,[1]Лист_1!$A:$C,2,0)</f>
        <v>682100762959</v>
      </c>
      <c r="H771" s="7">
        <v>1</v>
      </c>
      <c r="I771" s="26"/>
    </row>
    <row r="772" spans="1:9" s="13" customFormat="1" ht="35.1" customHeight="1">
      <c r="A772" s="6" t="s">
        <v>548</v>
      </c>
      <c r="B772" s="11" t="s">
        <v>261</v>
      </c>
      <c r="C772" s="12" t="s">
        <v>261</v>
      </c>
      <c r="D772" s="6" t="s">
        <v>514</v>
      </c>
      <c r="E772" s="6" t="s">
        <v>14</v>
      </c>
      <c r="F772" s="6" t="s">
        <v>548</v>
      </c>
      <c r="G772" s="18" t="str">
        <f>+VLOOKUP(F772,[1]Лист_1!$A:$C,2,0)</f>
        <v>773613747496</v>
      </c>
      <c r="H772" s="7">
        <v>1</v>
      </c>
      <c r="I772" s="26"/>
    </row>
    <row r="773" spans="1:9" s="13" customFormat="1" ht="35.1" customHeight="1">
      <c r="A773" s="6" t="s">
        <v>547</v>
      </c>
      <c r="B773" s="11" t="s">
        <v>261</v>
      </c>
      <c r="C773" s="12" t="s">
        <v>261</v>
      </c>
      <c r="D773" s="6" t="s">
        <v>514</v>
      </c>
      <c r="E773" s="6" t="s">
        <v>620</v>
      </c>
      <c r="F773" s="6" t="s">
        <v>547</v>
      </c>
      <c r="G773" s="18" t="str">
        <f>+VLOOKUP(F773,[1]Лист_1!$A:$C,2,0)</f>
        <v>324102710784</v>
      </c>
      <c r="H773" s="7">
        <v>1</v>
      </c>
      <c r="I773" s="26"/>
    </row>
    <row r="774" spans="1:9" s="13" customFormat="1" ht="35.1" customHeight="1">
      <c r="A774" s="29" t="s">
        <v>819</v>
      </c>
      <c r="B774" s="11" t="s">
        <v>261</v>
      </c>
      <c r="C774" s="12" t="s">
        <v>7</v>
      </c>
      <c r="D774" s="6" t="s">
        <v>514</v>
      </c>
      <c r="E774" s="6" t="s">
        <v>621</v>
      </c>
      <c r="F774" s="29" t="s">
        <v>819</v>
      </c>
      <c r="G774" s="18" t="str">
        <f>+VLOOKUP(F774,[1]Лист_1!$A:$C,2,0)</f>
        <v>745314321778</v>
      </c>
      <c r="H774" s="7">
        <v>1</v>
      </c>
      <c r="I774" s="26"/>
    </row>
    <row r="775" spans="1:9" s="13" customFormat="1" ht="35.1" customHeight="1">
      <c r="A775" s="28" t="s">
        <v>516</v>
      </c>
      <c r="B775" s="11" t="s">
        <v>261</v>
      </c>
      <c r="C775" s="12" t="s">
        <v>261</v>
      </c>
      <c r="D775" s="6" t="s">
        <v>515</v>
      </c>
      <c r="E775" s="6" t="s">
        <v>622</v>
      </c>
      <c r="F775" s="28" t="s">
        <v>66</v>
      </c>
      <c r="G775" s="18"/>
      <c r="H775" s="7">
        <v>1</v>
      </c>
      <c r="I775" s="26"/>
    </row>
    <row r="776" spans="1:9" s="13" customFormat="1" ht="35.1" customHeight="1">
      <c r="A776" s="6" t="s">
        <v>551</v>
      </c>
      <c r="B776" s="11" t="s">
        <v>261</v>
      </c>
      <c r="C776" s="12" t="s">
        <v>261</v>
      </c>
      <c r="D776" s="6" t="s">
        <v>515</v>
      </c>
      <c r="E776" s="6" t="s">
        <v>619</v>
      </c>
      <c r="F776" s="6" t="s">
        <v>551</v>
      </c>
      <c r="G776" s="18" t="str">
        <f>+VLOOKUP(F776,[1]Лист_1!$A:$C,2,0)</f>
        <v>581700066701</v>
      </c>
      <c r="H776" s="7">
        <v>1</v>
      </c>
      <c r="I776" s="26"/>
    </row>
    <row r="777" spans="1:9" s="13" customFormat="1" ht="35.1" customHeight="1">
      <c r="A777" s="6" t="s">
        <v>550</v>
      </c>
      <c r="B777" s="11" t="s">
        <v>261</v>
      </c>
      <c r="C777" s="12" t="s">
        <v>261</v>
      </c>
      <c r="D777" s="6" t="s">
        <v>515</v>
      </c>
      <c r="E777" s="6" t="s">
        <v>604</v>
      </c>
      <c r="F777" s="6" t="s">
        <v>550</v>
      </c>
      <c r="G777" s="18" t="str">
        <f>+VLOOKUP(F777,[1]Лист_1!$A:$C,2,0)</f>
        <v>503200750144</v>
      </c>
      <c r="H777" s="7">
        <v>1</v>
      </c>
      <c r="I777" s="26"/>
    </row>
    <row r="778" spans="1:9" s="13" customFormat="1" ht="35.1" customHeight="1">
      <c r="A778" s="6" t="s">
        <v>549</v>
      </c>
      <c r="B778" s="11" t="s">
        <v>261</v>
      </c>
      <c r="C778" s="12" t="s">
        <v>261</v>
      </c>
      <c r="D778" s="6" t="s">
        <v>515</v>
      </c>
      <c r="E778" s="6" t="s">
        <v>517</v>
      </c>
      <c r="F778" s="6" t="s">
        <v>549</v>
      </c>
      <c r="G778" s="18" t="str">
        <f>+VLOOKUP(F778,[1]Лист_1!$A:$C,2,0)</f>
        <v>772815412645</v>
      </c>
      <c r="H778" s="7">
        <v>1</v>
      </c>
      <c r="I778" s="26"/>
    </row>
    <row r="779" spans="1:9" s="13" customFormat="1" ht="35.1" customHeight="1">
      <c r="A779" s="6" t="s">
        <v>552</v>
      </c>
      <c r="B779" s="11" t="s">
        <v>261</v>
      </c>
      <c r="C779" s="12" t="s">
        <v>261</v>
      </c>
      <c r="D779" s="6" t="s">
        <v>515</v>
      </c>
      <c r="E779" s="6" t="s">
        <v>517</v>
      </c>
      <c r="F779" s="6" t="s">
        <v>552</v>
      </c>
      <c r="G779" s="18" t="str">
        <f>+VLOOKUP(F779,[1]Лист_1!$A:$C,2,0)</f>
        <v>501603277826</v>
      </c>
      <c r="H779" s="7">
        <v>0.5</v>
      </c>
      <c r="I779" s="26"/>
    </row>
    <row r="780" spans="1:9" s="13" customFormat="1" ht="35.1" customHeight="1">
      <c r="A780" s="28" t="s">
        <v>25</v>
      </c>
      <c r="B780" s="11" t="s">
        <v>261</v>
      </c>
      <c r="C780" s="12" t="s">
        <v>261</v>
      </c>
      <c r="D780" s="6" t="s">
        <v>515</v>
      </c>
      <c r="E780" s="6" t="s">
        <v>517</v>
      </c>
      <c r="F780" s="28" t="s">
        <v>66</v>
      </c>
      <c r="G780" s="18"/>
      <c r="H780" s="7">
        <v>0.5</v>
      </c>
      <c r="I780" s="26"/>
    </row>
    <row r="781" spans="1:9" s="13" customFormat="1" ht="35.1" customHeight="1">
      <c r="A781" s="6" t="s">
        <v>554</v>
      </c>
      <c r="B781" s="11" t="s">
        <v>261</v>
      </c>
      <c r="C781" s="12" t="s">
        <v>261</v>
      </c>
      <c r="D781" s="6" t="s">
        <v>556</v>
      </c>
      <c r="E781" s="6" t="s">
        <v>12</v>
      </c>
      <c r="F781" s="6" t="s">
        <v>554</v>
      </c>
      <c r="G781" s="18" t="str">
        <f>+VLOOKUP(F781,[1]Лист_1!$A:$C,2,0)</f>
        <v>261000249473</v>
      </c>
      <c r="H781" s="7">
        <v>1</v>
      </c>
      <c r="I781" s="26"/>
    </row>
    <row r="782" spans="1:9" s="13" customFormat="1" ht="35.1" customHeight="1">
      <c r="A782" s="6" t="s">
        <v>758</v>
      </c>
      <c r="B782" s="11" t="s">
        <v>261</v>
      </c>
      <c r="C782" s="12" t="s">
        <v>261</v>
      </c>
      <c r="D782" s="6" t="s">
        <v>556</v>
      </c>
      <c r="E782" s="6" t="s">
        <v>149</v>
      </c>
      <c r="F782" s="6" t="s">
        <v>758</v>
      </c>
      <c r="G782" s="18" t="str">
        <f>+VLOOKUP(F782,[1]Лист_1!$A:$C,2,0)</f>
        <v>366519163082</v>
      </c>
      <c r="H782" s="8">
        <v>1</v>
      </c>
      <c r="I782" s="26"/>
    </row>
    <row r="783" spans="1:9" s="13" customFormat="1" ht="35.1" customHeight="1">
      <c r="A783" s="6" t="s">
        <v>844</v>
      </c>
      <c r="B783" s="11" t="s">
        <v>261</v>
      </c>
      <c r="C783" s="12" t="s">
        <v>261</v>
      </c>
      <c r="D783" s="6" t="s">
        <v>556</v>
      </c>
      <c r="E783" s="6" t="s">
        <v>715</v>
      </c>
      <c r="F783" s="6" t="s">
        <v>844</v>
      </c>
      <c r="G783" s="18" t="str">
        <f>+VLOOKUP(F783,[1]Лист_1!$A:$C,2,0)</f>
        <v>032396241625</v>
      </c>
      <c r="H783" s="7">
        <v>1</v>
      </c>
      <c r="I783" s="26"/>
    </row>
    <row r="784" spans="1:9" s="13" customFormat="1" ht="35.1" customHeight="1">
      <c r="A784" s="6" t="s">
        <v>557</v>
      </c>
      <c r="B784" s="11" t="s">
        <v>261</v>
      </c>
      <c r="C784" s="12" t="s">
        <v>261</v>
      </c>
      <c r="D784" s="6" t="s">
        <v>556</v>
      </c>
      <c r="E784" s="6" t="s">
        <v>54</v>
      </c>
      <c r="F784" s="6" t="s">
        <v>557</v>
      </c>
      <c r="G784" s="18" t="str">
        <f>+VLOOKUP(F784,[1]Лист_1!$A:$C,2,0)</f>
        <v>027815650052</v>
      </c>
      <c r="H784" s="7">
        <v>1</v>
      </c>
      <c r="I784" s="26"/>
    </row>
    <row r="785" spans="1:9" s="13" customFormat="1" ht="35.1" customHeight="1">
      <c r="B785" s="44"/>
      <c r="C785" s="44"/>
      <c r="D785" s="44"/>
      <c r="E785" s="44"/>
      <c r="F785" s="51"/>
      <c r="G785" s="44"/>
      <c r="H785" s="14">
        <f>SUM(H769:H784)</f>
        <v>15</v>
      </c>
      <c r="I785" s="37"/>
    </row>
    <row r="786" spans="1:9" s="13" customFormat="1" ht="35.1" customHeight="1">
      <c r="A786" s="6" t="s">
        <v>562</v>
      </c>
      <c r="B786" s="11" t="s">
        <v>56</v>
      </c>
      <c r="C786" s="12" t="s">
        <v>969</v>
      </c>
      <c r="D786" s="6" t="s">
        <v>596</v>
      </c>
      <c r="E786" s="6" t="s">
        <v>12</v>
      </c>
      <c r="F786" s="6" t="s">
        <v>562</v>
      </c>
      <c r="G786" s="18" t="str">
        <f>+VLOOKUP(F786,[1]Лист_1!$A:$C,2,0)</f>
        <v>710309332409</v>
      </c>
      <c r="H786" s="8">
        <v>1</v>
      </c>
      <c r="I786" s="26"/>
    </row>
    <row r="787" spans="1:9" s="13" customFormat="1" ht="35.1" customHeight="1">
      <c r="A787" s="6" t="s">
        <v>765</v>
      </c>
      <c r="B787" s="11" t="s">
        <v>56</v>
      </c>
      <c r="C787" s="12" t="s">
        <v>969</v>
      </c>
      <c r="D787" s="6" t="s">
        <v>596</v>
      </c>
      <c r="E787" s="6" t="s">
        <v>149</v>
      </c>
      <c r="F787" s="6" t="s">
        <v>765</v>
      </c>
      <c r="G787" s="18" t="str">
        <f>+VLOOKUP(F787,[1]Лист_1!$A:$C,2,0)</f>
        <v>770700399225</v>
      </c>
      <c r="H787" s="8">
        <v>1</v>
      </c>
      <c r="I787" s="26"/>
    </row>
    <row r="788" spans="1:9" s="13" customFormat="1" ht="35.1" customHeight="1">
      <c r="A788" s="6" t="s">
        <v>535</v>
      </c>
      <c r="B788" s="11" t="s">
        <v>56</v>
      </c>
      <c r="C788" s="12" t="s">
        <v>258</v>
      </c>
      <c r="D788" s="6" t="s">
        <v>596</v>
      </c>
      <c r="E788" s="6" t="s">
        <v>149</v>
      </c>
      <c r="F788" s="6" t="s">
        <v>535</v>
      </c>
      <c r="G788" s="18" t="str">
        <f>+VLOOKUP(F788,[1]Лист_1!$A:$C,2,0)</f>
        <v>920159749062</v>
      </c>
      <c r="H788" s="8">
        <v>1</v>
      </c>
      <c r="I788" s="26"/>
    </row>
    <row r="789" spans="1:9" s="13" customFormat="1" ht="35.1" customHeight="1">
      <c r="A789" s="6" t="s">
        <v>555</v>
      </c>
      <c r="B789" s="11" t="s">
        <v>56</v>
      </c>
      <c r="C789" s="12" t="s">
        <v>261</v>
      </c>
      <c r="D789" s="6" t="s">
        <v>596</v>
      </c>
      <c r="E789" s="6" t="s">
        <v>715</v>
      </c>
      <c r="F789" s="6" t="s">
        <v>555</v>
      </c>
      <c r="G789" s="18" t="str">
        <f>+VLOOKUP(F789,[1]Лист_1!$A:$C,2,0)</f>
        <v>361801500980</v>
      </c>
      <c r="H789" s="8">
        <v>1</v>
      </c>
      <c r="I789" s="26"/>
    </row>
    <row r="790" spans="1:9" s="13" customFormat="1" ht="35.1" customHeight="1">
      <c r="A790" s="6" t="s">
        <v>523</v>
      </c>
      <c r="B790" s="11" t="s">
        <v>56</v>
      </c>
      <c r="C790" s="12" t="s">
        <v>258</v>
      </c>
      <c r="D790" s="6" t="s">
        <v>596</v>
      </c>
      <c r="E790" s="6" t="s">
        <v>715</v>
      </c>
      <c r="F790" s="6" t="s">
        <v>523</v>
      </c>
      <c r="G790" s="18" t="str">
        <f>+VLOOKUP(F790,[1]Лист_1!$A:$C,2,0)</f>
        <v>503611992735</v>
      </c>
      <c r="H790" s="8">
        <v>1</v>
      </c>
      <c r="I790" s="26"/>
    </row>
    <row r="791" spans="1:9" s="13" customFormat="1" ht="35.1" customHeight="1">
      <c r="A791" s="6" t="s">
        <v>577</v>
      </c>
      <c r="B791" s="11" t="s">
        <v>56</v>
      </c>
      <c r="C791" s="12" t="s">
        <v>7</v>
      </c>
      <c r="D791" s="6" t="s">
        <v>596</v>
      </c>
      <c r="E791" s="6" t="s">
        <v>715</v>
      </c>
      <c r="F791" s="6" t="s">
        <v>577</v>
      </c>
      <c r="G791" s="18" t="str">
        <f>+VLOOKUP(F791,[1]Лист_1!$A:$C,2,0)</f>
        <v>772322138314</v>
      </c>
      <c r="H791" s="8">
        <v>0.5</v>
      </c>
      <c r="I791" s="26"/>
    </row>
    <row r="792" spans="1:9" s="13" customFormat="1" ht="35.1" customHeight="1">
      <c r="A792" s="6" t="s">
        <v>821</v>
      </c>
      <c r="B792" s="11" t="s">
        <v>56</v>
      </c>
      <c r="C792" s="12" t="s">
        <v>968</v>
      </c>
      <c r="D792" s="6" t="s">
        <v>596</v>
      </c>
      <c r="E792" s="6" t="s">
        <v>715</v>
      </c>
      <c r="F792" s="6" t="s">
        <v>821</v>
      </c>
      <c r="G792" s="18" t="str">
        <f>+VLOOKUP(F792,[1]Лист_1!$A:$C,2,0)</f>
        <v>772084419642</v>
      </c>
      <c r="H792" s="8">
        <v>0.5</v>
      </c>
      <c r="I792" s="26"/>
    </row>
    <row r="793" spans="1:9" s="13" customFormat="1" ht="35.1" customHeight="1">
      <c r="A793" s="6" t="s">
        <v>578</v>
      </c>
      <c r="B793" s="11" t="s">
        <v>56</v>
      </c>
      <c r="C793" s="12" t="s">
        <v>7</v>
      </c>
      <c r="D793" s="6" t="s">
        <v>596</v>
      </c>
      <c r="E793" s="6" t="s">
        <v>715</v>
      </c>
      <c r="F793" s="6" t="s">
        <v>578</v>
      </c>
      <c r="G793" s="18" t="str">
        <f>+VLOOKUP(F793,[1]Лист_1!$A:$C,2,0)</f>
        <v>772070510235</v>
      </c>
      <c r="H793" s="8">
        <v>1</v>
      </c>
      <c r="I793" s="26"/>
    </row>
    <row r="794" spans="1:9" s="13" customFormat="1" ht="35.1" customHeight="1">
      <c r="A794" s="6" t="s">
        <v>585</v>
      </c>
      <c r="B794" s="11" t="s">
        <v>56</v>
      </c>
      <c r="C794" s="12" t="s">
        <v>968</v>
      </c>
      <c r="D794" s="6" t="s">
        <v>596</v>
      </c>
      <c r="E794" s="6" t="s">
        <v>614</v>
      </c>
      <c r="F794" s="6" t="s">
        <v>585</v>
      </c>
      <c r="G794" s="18" t="str">
        <f>+VLOOKUP(F794,[1]Лист_1!$A:$C,2,0)</f>
        <v>151305123405</v>
      </c>
      <c r="H794" s="8">
        <v>1</v>
      </c>
      <c r="I794" s="26"/>
    </row>
    <row r="795" spans="1:9" s="13" customFormat="1" ht="35.1" customHeight="1">
      <c r="A795" s="6" t="s">
        <v>583</v>
      </c>
      <c r="B795" s="11" t="s">
        <v>56</v>
      </c>
      <c r="C795" s="12" t="s">
        <v>969</v>
      </c>
      <c r="D795" s="6" t="s">
        <v>596</v>
      </c>
      <c r="E795" s="6" t="s">
        <v>54</v>
      </c>
      <c r="F795" s="6" t="s">
        <v>583</v>
      </c>
      <c r="G795" s="18" t="str">
        <f>+VLOOKUP(F795,[1]Лист_1!$A:$C,2,0)</f>
        <v>693901670923</v>
      </c>
      <c r="H795" s="8">
        <v>1</v>
      </c>
      <c r="I795" s="26"/>
    </row>
    <row r="796" spans="1:9" s="13" customFormat="1" ht="35.1" customHeight="1">
      <c r="A796" s="6" t="s">
        <v>584</v>
      </c>
      <c r="B796" s="11" t="s">
        <v>56</v>
      </c>
      <c r="C796" s="12" t="s">
        <v>969</v>
      </c>
      <c r="D796" s="6" t="s">
        <v>596</v>
      </c>
      <c r="E796" s="6" t="s">
        <v>54</v>
      </c>
      <c r="F796" s="6" t="s">
        <v>584</v>
      </c>
      <c r="G796" s="18" t="str">
        <f>+VLOOKUP(F796,[1]Лист_1!$A:$C,2,0)</f>
        <v>503225109856</v>
      </c>
      <c r="H796" s="8">
        <v>1</v>
      </c>
      <c r="I796" s="26"/>
    </row>
    <row r="797" spans="1:9" s="13" customFormat="1" ht="35.1" customHeight="1">
      <c r="A797" s="6" t="s">
        <v>586</v>
      </c>
      <c r="B797" s="11" t="s">
        <v>56</v>
      </c>
      <c r="C797" s="12" t="s">
        <v>7</v>
      </c>
      <c r="D797" s="6" t="s">
        <v>596</v>
      </c>
      <c r="E797" s="6" t="s">
        <v>54</v>
      </c>
      <c r="F797" s="6" t="s">
        <v>586</v>
      </c>
      <c r="G797" s="18" t="str">
        <f>+VLOOKUP(F797,[1]Лист_1!$A:$C,2,0)</f>
        <v>526321615765</v>
      </c>
      <c r="H797" s="8">
        <v>1</v>
      </c>
      <c r="I797" s="26"/>
    </row>
    <row r="798" spans="1:9" s="13" customFormat="1" ht="35.1" customHeight="1">
      <c r="A798" s="6" t="s">
        <v>752</v>
      </c>
      <c r="B798" s="11" t="s">
        <v>56</v>
      </c>
      <c r="C798" s="12" t="s">
        <v>7</v>
      </c>
      <c r="D798" s="6" t="s">
        <v>596</v>
      </c>
      <c r="E798" s="6" t="s">
        <v>54</v>
      </c>
      <c r="F798" s="6" t="s">
        <v>752</v>
      </c>
      <c r="G798" s="18" t="str">
        <f>+VLOOKUP(F798,[1]Лист_1!$A:$C,2,0)</f>
        <v>324106323592</v>
      </c>
      <c r="H798" s="8">
        <v>1</v>
      </c>
      <c r="I798" s="26"/>
    </row>
    <row r="799" spans="1:9" s="13" customFormat="1" ht="35.1" customHeight="1">
      <c r="A799" s="6" t="s">
        <v>435</v>
      </c>
      <c r="B799" s="11" t="s">
        <v>56</v>
      </c>
      <c r="C799" s="12" t="s">
        <v>7</v>
      </c>
      <c r="D799" s="6" t="s">
        <v>596</v>
      </c>
      <c r="E799" s="6" t="s">
        <v>54</v>
      </c>
      <c r="F799" s="6" t="s">
        <v>435</v>
      </c>
      <c r="G799" s="18" t="str">
        <f>+VLOOKUP(F799,[1]Лист_1!$A:$C,2,0)</f>
        <v>580317436513</v>
      </c>
      <c r="H799" s="8">
        <v>0.4</v>
      </c>
      <c r="I799" s="26"/>
    </row>
    <row r="800" spans="1:9" s="13" customFormat="1" ht="35.1" customHeight="1">
      <c r="A800" s="6" t="s">
        <v>918</v>
      </c>
      <c r="B800" s="11" t="s">
        <v>56</v>
      </c>
      <c r="C800" s="12" t="s">
        <v>7</v>
      </c>
      <c r="D800" s="6" t="s">
        <v>596</v>
      </c>
      <c r="E800" s="6" t="s">
        <v>54</v>
      </c>
      <c r="F800" s="6" t="s">
        <v>918</v>
      </c>
      <c r="G800" s="18" t="str">
        <f>+VLOOKUP(F800,[1]Лист_1!$A:$C,2,0)</f>
        <v>262520870287</v>
      </c>
      <c r="H800" s="8">
        <v>0.6</v>
      </c>
      <c r="I800" s="26"/>
    </row>
    <row r="801" spans="1:11" s="13" customFormat="1" ht="35.1" customHeight="1">
      <c r="A801" s="33" t="s">
        <v>932</v>
      </c>
      <c r="B801" s="11" t="s">
        <v>56</v>
      </c>
      <c r="C801" s="12" t="s">
        <v>7</v>
      </c>
      <c r="D801" s="6" t="s">
        <v>596</v>
      </c>
      <c r="E801" s="6" t="s">
        <v>55</v>
      </c>
      <c r="F801" s="29" t="s">
        <v>932</v>
      </c>
      <c r="G801" s="18" t="str">
        <f>+VLOOKUP(F801,[1]Лист_1!$A:$C,2,0)</f>
        <v>752904004282</v>
      </c>
      <c r="H801" s="8">
        <v>0.5</v>
      </c>
      <c r="I801" s="26"/>
    </row>
    <row r="802" spans="1:11" s="13" customFormat="1" ht="35.1" customHeight="1">
      <c r="A802" s="33" t="s">
        <v>933</v>
      </c>
      <c r="B802" s="11" t="s">
        <v>56</v>
      </c>
      <c r="C802" s="12" t="s">
        <v>7</v>
      </c>
      <c r="D802" s="6" t="s">
        <v>596</v>
      </c>
      <c r="E802" s="6" t="s">
        <v>55</v>
      </c>
      <c r="F802" s="29" t="s">
        <v>933</v>
      </c>
      <c r="G802" s="18" t="str">
        <f>+VLOOKUP(F802,[1]Лист_1!$A:$C,2,0)</f>
        <v>971300035630</v>
      </c>
      <c r="H802" s="8">
        <v>0.5</v>
      </c>
      <c r="I802" s="26"/>
    </row>
    <row r="803" spans="1:11" s="13" customFormat="1" ht="35.1" customHeight="1">
      <c r="A803" s="6" t="s">
        <v>580</v>
      </c>
      <c r="B803" s="11" t="s">
        <v>56</v>
      </c>
      <c r="C803" s="12" t="s">
        <v>7</v>
      </c>
      <c r="D803" s="6" t="s">
        <v>596</v>
      </c>
      <c r="E803" s="6" t="s">
        <v>55</v>
      </c>
      <c r="F803" s="6" t="s">
        <v>580</v>
      </c>
      <c r="G803" s="18" t="str">
        <f>+VLOOKUP(F803,[1]Лист_1!$A:$C,2,0)</f>
        <v>771319733537</v>
      </c>
      <c r="H803" s="8">
        <v>1</v>
      </c>
      <c r="I803" s="26"/>
    </row>
    <row r="804" spans="1:11" s="13" customFormat="1" ht="35.1" customHeight="1">
      <c r="A804" s="6" t="s">
        <v>430</v>
      </c>
      <c r="B804" s="11" t="s">
        <v>56</v>
      </c>
      <c r="C804" s="12" t="s">
        <v>968</v>
      </c>
      <c r="D804" s="6" t="s">
        <v>596</v>
      </c>
      <c r="E804" s="6" t="s">
        <v>151</v>
      </c>
      <c r="F804" s="6" t="s">
        <v>430</v>
      </c>
      <c r="G804" s="18" t="str">
        <f>+VLOOKUP(F804,[1]Лист_1!$A:$C,2,0)</f>
        <v>503822825003</v>
      </c>
      <c r="H804" s="7">
        <v>0.25</v>
      </c>
      <c r="I804" s="26"/>
    </row>
    <row r="805" spans="1:11" s="13" customFormat="1" ht="35.1" customHeight="1">
      <c r="A805" s="29" t="s">
        <v>783</v>
      </c>
      <c r="B805" s="11" t="s">
        <v>56</v>
      </c>
      <c r="C805" s="12" t="s">
        <v>771</v>
      </c>
      <c r="D805" s="6" t="s">
        <v>596</v>
      </c>
      <c r="E805" s="6" t="s">
        <v>151</v>
      </c>
      <c r="F805" s="29" t="s">
        <v>783</v>
      </c>
      <c r="G805" s="18" t="str">
        <f>+VLOOKUP(F805,[1]Лист_1!$A:$C,2,0)</f>
        <v>500711053540</v>
      </c>
      <c r="H805" s="7">
        <v>0.25</v>
      </c>
      <c r="I805" s="26"/>
    </row>
    <row r="806" spans="1:11" s="13" customFormat="1" ht="35.1" customHeight="1">
      <c r="A806" s="29" t="s">
        <v>668</v>
      </c>
      <c r="B806" s="11" t="s">
        <v>56</v>
      </c>
      <c r="C806" s="12" t="s">
        <v>56</v>
      </c>
      <c r="D806" s="6" t="s">
        <v>596</v>
      </c>
      <c r="E806" s="6" t="s">
        <v>151</v>
      </c>
      <c r="F806" s="28" t="s">
        <v>66</v>
      </c>
      <c r="G806" s="18"/>
      <c r="H806" s="8">
        <v>1</v>
      </c>
      <c r="I806" s="26"/>
    </row>
    <row r="807" spans="1:11" s="13" customFormat="1" ht="35.1" customHeight="1">
      <c r="A807" s="6" t="s">
        <v>833</v>
      </c>
      <c r="B807" s="11" t="s">
        <v>56</v>
      </c>
      <c r="C807" s="12" t="s">
        <v>845</v>
      </c>
      <c r="D807" s="6" t="s">
        <v>596</v>
      </c>
      <c r="E807" s="6" t="s">
        <v>151</v>
      </c>
      <c r="F807" s="6" t="s">
        <v>833</v>
      </c>
      <c r="G807" s="18" t="str">
        <f>+VLOOKUP(F807,[1]Лист_1!$A:$C,2,0)</f>
        <v>772997385827</v>
      </c>
      <c r="H807" s="8">
        <v>0.5</v>
      </c>
      <c r="I807" s="26"/>
    </row>
    <row r="808" spans="1:11" s="13" customFormat="1" ht="35.1" customHeight="1">
      <c r="B808" s="44"/>
      <c r="C808" s="44"/>
      <c r="D808" s="44"/>
      <c r="E808" s="44"/>
      <c r="F808" s="51"/>
      <c r="G808" s="44"/>
      <c r="H808" s="14">
        <f t="shared" ref="H808" si="0">SUM(H786:H807)</f>
        <v>17</v>
      </c>
      <c r="I808" s="37"/>
    </row>
    <row r="811" spans="1:11" s="15" customFormat="1" ht="44.45" customHeight="1">
      <c r="A811" s="24"/>
      <c r="E811" s="24"/>
      <c r="F811" s="52"/>
      <c r="G811" s="24"/>
      <c r="H811" s="40">
        <f t="shared" ref="H811" si="1">SUM(H18,H179,H381,H530,H630,H650,H690,H7047,H700,H734,H758,H768,H785,H808)</f>
        <v>712</v>
      </c>
      <c r="I811" s="38">
        <v>161425315.75</v>
      </c>
      <c r="K811" s="41"/>
    </row>
    <row r="813" spans="1:11">
      <c r="I813" s="39" t="e">
        <f>I811-(#REF!+#REF!+#REF!+#REF!+#REF!)</f>
        <v>#REF!</v>
      </c>
    </row>
  </sheetData>
  <autoFilter ref="A1:X808" xr:uid="{00000000-0001-0000-0000-000000000000}">
    <sortState xmlns:xlrd2="http://schemas.microsoft.com/office/spreadsheetml/2017/richdata2" ref="A13:X806">
      <sortCondition ref="F1:F808"/>
    </sortState>
  </autoFilter>
  <conditionalFormatting sqref="A84">
    <cfRule type="containsText" dxfId="11" priority="4" operator="containsText" text="ВАКАНСИЯ">
      <formula>NOT(ISERROR(SEARCH("ВАКАНСИЯ",A84)))</formula>
    </cfRule>
  </conditionalFormatting>
  <conditionalFormatting sqref="A141:A142">
    <cfRule type="containsText" dxfId="10" priority="6" operator="containsText" text="ВАКАНСИЯ">
      <formula>NOT(ISERROR(SEARCH("ВАКАНСИЯ",A141)))</formula>
    </cfRule>
  </conditionalFormatting>
  <conditionalFormatting sqref="A558">
    <cfRule type="containsText" dxfId="9" priority="2" operator="containsText" text="ВАКАНСИЯ">
      <formula>NOT(ISERROR(SEARCH("ВАКАНСИЯ",A558)))</formula>
    </cfRule>
  </conditionalFormatting>
  <conditionalFormatting sqref="A596">
    <cfRule type="containsText" dxfId="8" priority="3" operator="containsText" text="ВАКАНСИЯ">
      <formula>NOT(ISERROR(SEARCH("ВАКАНСИЯ",A596)))</formula>
    </cfRule>
  </conditionalFormatting>
  <conditionalFormatting sqref="A622:A625 A628:A629">
    <cfRule type="uniqueValues" dxfId="7" priority="5"/>
  </conditionalFormatting>
  <conditionalFormatting sqref="A800">
    <cfRule type="containsText" dxfId="6" priority="7" operator="containsText" text="ВАКАНСИЯ">
      <formula>NOT(ISERROR(SEARCH("ВАКАНСИЯ",A800)))</formula>
    </cfRule>
  </conditionalFormatting>
  <conditionalFormatting sqref="C628:E629 D622:E627">
    <cfRule type="uniqueValues" dxfId="5" priority="14"/>
  </conditionalFormatting>
  <conditionalFormatting sqref="F84">
    <cfRule type="containsText" dxfId="4" priority="12" operator="containsText" text="ВАКАНСИЯ">
      <formula>NOT(ISERROR(SEARCH("ВАКАНСИЯ",F84)))</formula>
    </cfRule>
  </conditionalFormatting>
  <conditionalFormatting sqref="F141">
    <cfRule type="containsText" dxfId="3" priority="1" operator="containsText" text="ВАКАНСИЯ">
      <formula>NOT(ISERROR(SEARCH("ВАКАНСИЯ",F141)))</formula>
    </cfRule>
  </conditionalFormatting>
  <conditionalFormatting sqref="F558">
    <cfRule type="containsText" dxfId="2" priority="10" operator="containsText" text="ВАКАНСИЯ">
      <formula>NOT(ISERROR(SEARCH("ВАКАНСИЯ",F558)))</formula>
    </cfRule>
  </conditionalFormatting>
  <conditionalFormatting sqref="F596">
    <cfRule type="containsText" dxfId="1" priority="11" operator="containsText" text="ВАКАНСИЯ">
      <formula>NOT(ISERROR(SEARCH("ВАКАНСИЯ",F596)))</formula>
    </cfRule>
  </conditionalFormatting>
  <conditionalFormatting sqref="F800">
    <cfRule type="containsText" dxfId="0" priority="16" operator="containsText" text="ВАКАНСИЯ">
      <formula>NOT(ISERROR(SEARCH("ВАКАНСИЯ",F800)))</formula>
    </cfRule>
  </conditionalFormatting>
  <pageMargins left="0.11811023622047244" right="0.11811023622047244" top="0.15748031496062992" bottom="0.15748031496062992" header="0.31496062992125984" footer="0.31496062992125984"/>
  <pageSetup paperSize="9" scale="62" fitToHeight="0" orientation="landscape" r:id="rId1"/>
  <rowBreaks count="11" manualBreakCount="11">
    <brk id="179" min="1" max="20" man="1"/>
    <brk id="208" min="1" max="19" man="1"/>
    <brk id="297" min="1" max="19" man="1"/>
    <brk id="388" min="1" max="19" man="1"/>
    <brk id="488" max="16383" man="1"/>
    <brk id="522" min="1" max="20" man="1"/>
    <brk id="555" min="1" max="20" man="1"/>
    <brk id="597" min="1" max="19" man="1"/>
    <brk id="639" min="1" max="19" man="1"/>
    <brk id="690" min="1" max="20" man="1"/>
    <brk id="774" min="1" max="1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Шубина Динара Абдулхаковна</dc:creator>
  <cp:lastModifiedBy>Трошина Юлия Владимировна</cp:lastModifiedBy>
  <cp:lastPrinted>2025-12-06T15:22:48Z</cp:lastPrinted>
  <dcterms:created xsi:type="dcterms:W3CDTF">2025-05-05T14:28:19Z</dcterms:created>
  <dcterms:modified xsi:type="dcterms:W3CDTF">2026-06-29T14:53:50Z</dcterms:modified>
</cp:coreProperties>
</file>